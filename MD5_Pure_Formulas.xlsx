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🔐 MD5" sheetId="1" state="visible" r:id="rId3"/>
    <sheet name="📖 How MD5 Works" sheetId="2" state="visible" r:id="rId4"/>
    <sheet name="🔤 ASCII Encoding" sheetId="3" state="visible" r:id="rId5"/>
    <sheet name="📦 MD5 Constants" sheetId="4" state="visible" r:id="rId6"/>
    <sheet name="⚙️ Compu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<sst xmlns="http://schemas.openxmlformats.org/spreadsheetml/2006/main" count="362" uniqueCount="205">
  <si>
    <t xml:space="preserve">🔐  MD5 Hash Calculator — Pure Formulas, No VBA</t>
  </si>
  <si>
    <t xml:space="preserve">Requires Excel 2013+ · Uses only INT, MOD, MID, CODE — no BITOR/BITAND macros</t>
  </si>
  <si>
    <t xml:space="preserve">✏️  TYPE YOUR WORD HERE  (1–7 ASCII characters):</t>
  </si>
  <si>
    <t xml:space="preserve">hello</t>
  </si>
  <si>
    <t xml:space="preserve">🔑  MD5 RESULT:</t>
  </si>
  <si>
    <t xml:space="preserve">📌  Sheets: 📖 How MD5 Works  |  🔤 ASCII Encoding  |  📦 MD5 Constants  |  ⚙️ Compute</t>
  </si>
  <si>
    <t xml:space="preserve">✅ Verified: "hello" → 5d41402abc4b2a76b9719d911017c592  |  "abc" → 900150983cd24fb0d6963f7d28e17f72  |  "test" → 098f6bcd4621d373cade4e832627b4f6</t>
  </si>
  <si>
    <t xml:space="preserve">⚠️  Max input: 7 characters · ASCII only · Requires Excel 2013+ (for INT/MOD/MID — no BITOR/BITAND needed)</t>
  </si>
  <si>
    <t xml:space="preserve">📖  How MD5 Works — Algorithm Explanation</t>
  </si>
  <si>
    <t xml:space="preserve">  Step 1 · Input</t>
  </si>
  <si>
    <t xml:space="preserve">Convert each character to its ASCII byte code. 'hello' → [104, 101, 108, 108, 111] = 5 bytes.</t>
  </si>
  <si>
    <t xml:space="preserve">  Step 2 · Padding</t>
  </si>
  <si>
    <t xml:space="preserve">Append byte 0x80 after the message, then zero bytes until total length ≡ 56 (mod 64).
For ≤7-byte input: byte[len]=128, bytes[len+1..55]=0.</t>
  </si>
  <si>
    <t xml:space="preserve">  Step 3 · Length</t>
  </si>
  <si>
    <t xml:space="preserve">Append the original bit-length as a 64-bit little-endian integer in bytes 56–63.
'hello'=5 bytes=40 bits → bytes 56-59=[40,0,0,0], 60-63=[0,0,0,0]. Now total=512 bits=16 words M[0..15].</t>
  </si>
  <si>
    <t xml:space="preserve">  Step 4 · Init state</t>
  </si>
  <si>
    <t xml:space="preserve">Four 32-bit magic constants:
A₀=0x67452301  B₀=0xEFCDAB89  C₀=0x98BADCFE  D₀=0x10325476</t>
  </si>
  <si>
    <t xml:space="preserve">  Step 5 · 64 ops</t>
  </si>
  <si>
    <t xml:space="preserve">Four rounds × 16 ops. Each op:
new_B = B + ROL32( A + F(B,C,D) + M[g] + K[i],  r[i] )
new_A = D,  new_C = B,  new_D = C</t>
  </si>
  <si>
    <t xml:space="preserve">  Round functions</t>
  </si>
  <si>
    <t xml:space="preserve">R1 (i=0..15):  F(B,C,D) = AND(B,C) + AND(NOT_B,D)     [bits of B select C or D]
R2 (i=16..31): G(B,C,D) = AND(B,D) + AND(C,NOT_D)     [variant select]
R3 (i=32..47): H(B,C,D) = XOR(XOR(B,C),D)             [parity]
R4 (i=48..63): I(B,C,D) = XOR(C, OR(B,NOT_D))         [nonlinear]</t>
  </si>
  <si>
    <t xml:space="preserve">  K constants</t>
  </si>
  <si>
    <t xml:space="preserve">K[i] = floor(2³² × |sin(i+1)|) for i=0..63. These 32-bit pseudo-random values break symmetry.
Tabulated on '📦 MD5 Constants' sheet.</t>
  </si>
  <si>
    <t xml:space="preserve">  Step 6 · Finalize</t>
  </si>
  <si>
    <t xml:space="preserve">After 64 ops: A_out+=A₀, B_out+=B₀, C_out+=C₀, D_out+=D₀ (all mod 2³²).
This Davies–Meyer feed-forward provides collision resistance.</t>
  </si>
  <si>
    <t xml:space="preserve">  Step 7 · Output</t>
  </si>
  <si>
    <t xml:space="preserve">Write A_out, B_out, C_out, D_out as little-endian bytes.
Each 32-bit word → 4 bytes → 8 hex chars. Total: 32 hex chars = 128-bit MD5 hash.</t>
  </si>
  <si>
    <t xml:space="preserve">  Excel formula method</t>
  </si>
  <si>
    <t xml:space="preserve">Since Excel has no 32-bit integer type, we implement:
· AND32(a,b): byte-decomposition into 4×8-bit BITANDs using INT/MOD arithmetic
· OR32(a,b) = a+b−AND32(a,b)  |  XOR32(a,b) = a+b−2×AND32(a,b)
· NOT32(a) = 4294967295−a
· ROL32(x,n) = MOD( MOD(x,2^(32−n))×2^n + INT(x/2^(32−n)),  2³² )
· ADD32(a,b) = MOD(a+b, 2³²)
Each of the 64 steps is one row on the ⚙️ Compute sheet.</t>
  </si>
  <si>
    <t xml:space="preserve">🔤  Input → ASCII → Binary bits</t>
  </si>
  <si>
    <t xml:space="preserve">Pos</t>
  </si>
  <si>
    <t xml:space="preserve">Char</t>
  </si>
  <si>
    <t xml:space="preserve">ASCII</t>
  </si>
  <si>
    <t xml:space="preserve">Hex</t>
  </si>
  <si>
    <t xml:space="preserve">b7</t>
  </si>
  <si>
    <t xml:space="preserve">b6</t>
  </si>
  <si>
    <t xml:space="preserve">b5</t>
  </si>
  <si>
    <t xml:space="preserve">b4</t>
  </si>
  <si>
    <t xml:space="preserve">b3</t>
  </si>
  <si>
    <t xml:space="preserve">b2</t>
  </si>
  <si>
    <t xml:space="preserve">b1</t>
  </si>
  <si>
    <t xml:space="preserve">b0</t>
  </si>
  <si>
    <t xml:space="preserve">📦  MD5 Constants — K[i] (from sine) and r[i] (shift amounts)</t>
  </si>
  <si>
    <t xml:space="preserve">K[i] = floor(2³² × |sin(i+1)|)  used in step: temp = A + F(B,C,D) + M[g] + K[i]</t>
  </si>
  <si>
    <t xml:space="preserve">i</t>
  </si>
  <si>
    <t xml:space="preserve">K[i] decimal</t>
  </si>
  <si>
    <t xml:space="preserve">K[i] hex</t>
  </si>
  <si>
    <t xml:space="preserve">Round</t>
  </si>
  <si>
    <t xml:space="preserve">r[i]</t>
  </si>
  <si>
    <t xml:space="preserve">0xD76AA478</t>
  </si>
  <si>
    <t xml:space="preserve">Round 1 (F)</t>
  </si>
  <si>
    <t xml:space="preserve">0xE8C7B756</t>
  </si>
  <si>
    <t xml:space="preserve">0x242070DB</t>
  </si>
  <si>
    <t xml:space="preserve">0xC1BDCEEE</t>
  </si>
  <si>
    <t xml:space="preserve">0xF57C0FAF</t>
  </si>
  <si>
    <t xml:space="preserve">0x4787C62A</t>
  </si>
  <si>
    <t xml:space="preserve">0xA8304613</t>
  </si>
  <si>
    <t xml:space="preserve">0xFD469501</t>
  </si>
  <si>
    <t xml:space="preserve">0x698098D8</t>
  </si>
  <si>
    <t xml:space="preserve">0x8B44F7AF</t>
  </si>
  <si>
    <t xml:space="preserve">0xFFFF5BB1</t>
  </si>
  <si>
    <t xml:space="preserve">0x895CD7BE</t>
  </si>
  <si>
    <t xml:space="preserve">0x6B901122</t>
  </si>
  <si>
    <t xml:space="preserve">0xFD987193</t>
  </si>
  <si>
    <t xml:space="preserve">0xA679438E</t>
  </si>
  <si>
    <t xml:space="preserve">0x49B40821</t>
  </si>
  <si>
    <t xml:space="preserve">0xF61E2562</t>
  </si>
  <si>
    <t xml:space="preserve">Round 2 (G)</t>
  </si>
  <si>
    <t xml:space="preserve">0xC040B340</t>
  </si>
  <si>
    <t xml:space="preserve">0x265E5A51</t>
  </si>
  <si>
    <t xml:space="preserve">0xE9B6C7AA</t>
  </si>
  <si>
    <t xml:space="preserve">0xD62F105D</t>
  </si>
  <si>
    <t xml:space="preserve">0x2441453</t>
  </si>
  <si>
    <t xml:space="preserve">0xD8A1E681</t>
  </si>
  <si>
    <t xml:space="preserve">0xE7D3FBC8</t>
  </si>
  <si>
    <t xml:space="preserve">0x21E1CDE6</t>
  </si>
  <si>
    <t xml:space="preserve">0xC33707D6</t>
  </si>
  <si>
    <t xml:space="preserve">0xF4D50D87</t>
  </si>
  <si>
    <t xml:space="preserve">0x455A14ED</t>
  </si>
  <si>
    <t xml:space="preserve">0xA9E3E905</t>
  </si>
  <si>
    <t xml:space="preserve">0xFCEFA3F8</t>
  </si>
  <si>
    <t xml:space="preserve">0x676F02D9</t>
  </si>
  <si>
    <t xml:space="preserve">0x8D2A4C8A</t>
  </si>
  <si>
    <t xml:space="preserve">0xFFFA3942</t>
  </si>
  <si>
    <t xml:space="preserve">Round 3 (H)</t>
  </si>
  <si>
    <t xml:space="preserve">0x8771F681</t>
  </si>
  <si>
    <t xml:space="preserve">0x6D9D6122</t>
  </si>
  <si>
    <t xml:space="preserve">0xFDE5380C</t>
  </si>
  <si>
    <t xml:space="preserve">0xA4BEEA44</t>
  </si>
  <si>
    <t xml:space="preserve">0x4BDECFA9</t>
  </si>
  <si>
    <t xml:space="preserve">0xF6BB4B60</t>
  </si>
  <si>
    <t xml:space="preserve">0xBEBFBC70</t>
  </si>
  <si>
    <t xml:space="preserve">0x289B7EC6</t>
  </si>
  <si>
    <t xml:space="preserve">0xEAA127FA</t>
  </si>
  <si>
    <t xml:space="preserve">0xD4EF3085</t>
  </si>
  <si>
    <t xml:space="preserve">0x4881D05</t>
  </si>
  <si>
    <t xml:space="preserve">0xD9D4D039</t>
  </si>
  <si>
    <t xml:space="preserve">0xE6DB99E5</t>
  </si>
  <si>
    <t xml:space="preserve">0x1FA27CF8</t>
  </si>
  <si>
    <t xml:space="preserve">0xC4AC5665</t>
  </si>
  <si>
    <t xml:space="preserve">0xF4292244</t>
  </si>
  <si>
    <t xml:space="preserve">Round 4 (I)</t>
  </si>
  <si>
    <t xml:space="preserve">0x432AFF97</t>
  </si>
  <si>
    <t xml:space="preserve">0xAB9423A7</t>
  </si>
  <si>
    <t xml:space="preserve">0xFC93A039</t>
  </si>
  <si>
    <t xml:space="preserve">0x655B59C3</t>
  </si>
  <si>
    <t xml:space="preserve">0x8F0CCC92</t>
  </si>
  <si>
    <t xml:space="preserve">0xFFEFF47D</t>
  </si>
  <si>
    <t xml:space="preserve">0x85845DD1</t>
  </si>
  <si>
    <t xml:space="preserve">0x6FA87E4F</t>
  </si>
  <si>
    <t xml:space="preserve">0xFE2CE6E0</t>
  </si>
  <si>
    <t xml:space="preserve">0xA3014314</t>
  </si>
  <si>
    <t xml:space="preserve">0x4E0811A1</t>
  </si>
  <si>
    <t xml:space="preserve">0xF7537E82</t>
  </si>
  <si>
    <t xml:space="preserve">0xBD3AF235</t>
  </si>
  <si>
    <t xml:space="preserve">0x2AD7D2BB</t>
  </si>
  <si>
    <t xml:space="preserve">0xEB86D391</t>
  </si>
  <si>
    <t xml:space="preserve">⚙️  MD5 Computation — 64 Steps  (pure INT/MOD arithmetic, no BITOR/BITAND)</t>
  </si>
  <si>
    <t xml:space="preserve">MD5 HASH:</t>
  </si>
  <si>
    <t xml:space="preserve">Each step:  new_B = ADD32( B,  ROL32( ADD32(A, FUNC(B,C,D), M[g], K[i]),  r[i] ) )   new_A=D  new_C=B  new_D=C   |   BITAND implemented as pure INT/MOD byte expansion</t>
  </si>
  <si>
    <t xml:space="preserve">Step</t>
  </si>
  <si>
    <t xml:space="preserve">A</t>
  </si>
  <si>
    <t xml:space="preserve">B</t>
  </si>
  <si>
    <t xml:space="preserve">C</t>
  </si>
  <si>
    <t xml:space="preserve">D</t>
  </si>
  <si>
    <t xml:space="preserve">BA1</t>
  </si>
  <si>
    <t xml:space="preserve">BA2</t>
  </si>
  <si>
    <t xml:space="preserve">BA3</t>
  </si>
  <si>
    <t xml:space="preserve">FUNC</t>
  </si>
  <si>
    <t xml:space="preserve">M[g]</t>
  </si>
  <si>
    <t xml:space="preserve">K[i]</t>
  </si>
  <si>
    <t xml:space="preserve">r</t>
  </si>
  <si>
    <t xml:space="preserve">A+F+M+K</t>
  </si>
  <si>
    <t xml:space="preserve">ROL</t>
  </si>
  <si>
    <t xml:space="preserve">new_B</t>
  </si>
  <si>
    <t xml:space="preserve">Note</t>
  </si>
  <si>
    <t xml:space="preserve">INIT</t>
  </si>
  <si>
    <t xml:space="preserve">A₀=0x67452301  B₀=0xEFCDAB89  C₀=0x98BADCFE  D₀=0x10325476</t>
  </si>
  <si>
    <t xml:space="preserve">—</t>
  </si>
  <si>
    <t xml:space="preserve">Round 1: F(B,C,D)=AND(B,C)+AND(NOT_B,D)</t>
  </si>
  <si>
    <t xml:space="preserve">op=2  g=M[1]  shift=12</t>
  </si>
  <si>
    <t xml:space="preserve">op=3  g=M[2]  shift=17</t>
  </si>
  <si>
    <t xml:space="preserve">op=4  g=M[3]  shift=22</t>
  </si>
  <si>
    <t xml:space="preserve">op=5  g=M[4]  shift=7</t>
  </si>
  <si>
    <t xml:space="preserve">op=6  g=M[5]  shift=12</t>
  </si>
  <si>
    <t xml:space="preserve">op=7  g=M[6]  shift=17</t>
  </si>
  <si>
    <t xml:space="preserve">op=8  g=M[7]  shift=22</t>
  </si>
  <si>
    <t xml:space="preserve">op=9  g=M[8]  shift=7</t>
  </si>
  <si>
    <t xml:space="preserve">op=10  g=M[9]  shift=12</t>
  </si>
  <si>
    <t xml:space="preserve">op=11  g=M[10]  shift=17</t>
  </si>
  <si>
    <t xml:space="preserve">op=12  g=M[11]  shift=22</t>
  </si>
  <si>
    <t xml:space="preserve">op=13  g=M[12]  shift=7</t>
  </si>
  <si>
    <t xml:space="preserve">op=14  g=M[13]  shift=12</t>
  </si>
  <si>
    <t xml:space="preserve">op=15  g=M[14]  shift=17</t>
  </si>
  <si>
    <t xml:space="preserve">op=16  g=M[15]  shift=22</t>
  </si>
  <si>
    <t xml:space="preserve">Round 2: G(B,C,D)=AND(B,D)+AND(C,NOT_D)</t>
  </si>
  <si>
    <t xml:space="preserve">op=18  g=M[6]  shift=9</t>
  </si>
  <si>
    <t xml:space="preserve">op=19  g=M[11]  shift=14</t>
  </si>
  <si>
    <t xml:space="preserve">op=20  g=M[0]  shift=20</t>
  </si>
  <si>
    <t xml:space="preserve">op=21  g=M[5]  shift=5</t>
  </si>
  <si>
    <t xml:space="preserve">op=22  g=M[10]  shift=9</t>
  </si>
  <si>
    <t xml:space="preserve">op=23  g=M[15]  shift=14</t>
  </si>
  <si>
    <t xml:space="preserve">op=24  g=M[4]  shift=20</t>
  </si>
  <si>
    <t xml:space="preserve">op=25  g=M[9]  shift=5</t>
  </si>
  <si>
    <t xml:space="preserve">op=26  g=M[14]  shift=9</t>
  </si>
  <si>
    <t xml:space="preserve">op=27  g=M[3]  shift=14</t>
  </si>
  <si>
    <t xml:space="preserve">op=28  g=M[8]  shift=20</t>
  </si>
  <si>
    <t xml:space="preserve">op=29  g=M[13]  shift=5</t>
  </si>
  <si>
    <t xml:space="preserve">op=30  g=M[2]  shift=9</t>
  </si>
  <si>
    <t xml:space="preserve">op=31  g=M[7]  shift=14</t>
  </si>
  <si>
    <t xml:space="preserve">op=32  g=M[12]  shift=20</t>
  </si>
  <si>
    <t xml:space="preserve">Round 3: H(B,C,D)=XOR(XOR(B,C),D)</t>
  </si>
  <si>
    <t xml:space="preserve">op=34  g=M[8]  shift=11</t>
  </si>
  <si>
    <t xml:space="preserve">op=35  g=M[11]  shift=16</t>
  </si>
  <si>
    <t xml:space="preserve">op=36  g=M[14]  shift=23</t>
  </si>
  <si>
    <t xml:space="preserve">op=37  g=M[1]  shift=4</t>
  </si>
  <si>
    <t xml:space="preserve">op=38  g=M[4]  shift=11</t>
  </si>
  <si>
    <t xml:space="preserve">op=39  g=M[7]  shift=16</t>
  </si>
  <si>
    <t xml:space="preserve">op=40  g=M[10]  shift=23</t>
  </si>
  <si>
    <t xml:space="preserve">op=41  g=M[13]  shift=4</t>
  </si>
  <si>
    <t xml:space="preserve">op=42  g=M[0]  shift=11</t>
  </si>
  <si>
    <t xml:space="preserve">op=43  g=M[3]  shift=16</t>
  </si>
  <si>
    <t xml:space="preserve">op=44  g=M[6]  shift=23</t>
  </si>
  <si>
    <t xml:space="preserve">op=45  g=M[9]  shift=4</t>
  </si>
  <si>
    <t xml:space="preserve">op=46  g=M[12]  shift=11</t>
  </si>
  <si>
    <t xml:space="preserve">op=47  g=M[15]  shift=16</t>
  </si>
  <si>
    <t xml:space="preserve">op=48  g=M[2]  shift=23</t>
  </si>
  <si>
    <t xml:space="preserve">Round 4: I(B,C,D)=XOR(C,OR(B,NOT_D))</t>
  </si>
  <si>
    <t xml:space="preserve">op=50  g=M[7]  shift=10</t>
  </si>
  <si>
    <t xml:space="preserve">op=51  g=M[14]  shift=15</t>
  </si>
  <si>
    <t xml:space="preserve">op=52  g=M[5]  shift=21</t>
  </si>
  <si>
    <t xml:space="preserve">op=53  g=M[12]  shift=6</t>
  </si>
  <si>
    <t xml:space="preserve">op=54  g=M[3]  shift=10</t>
  </si>
  <si>
    <t xml:space="preserve">op=55  g=M[10]  shift=15</t>
  </si>
  <si>
    <t xml:space="preserve">op=56  g=M[1]  shift=21</t>
  </si>
  <si>
    <t xml:space="preserve">op=57  g=M[8]  shift=6</t>
  </si>
  <si>
    <t xml:space="preserve">op=58  g=M[15]  shift=10</t>
  </si>
  <si>
    <t xml:space="preserve">op=59  g=M[6]  shift=15</t>
  </si>
  <si>
    <t xml:space="preserve">op=60  g=M[13]  shift=21</t>
  </si>
  <si>
    <t xml:space="preserve">op=61  g=M[4]  shift=6</t>
  </si>
  <si>
    <t xml:space="preserve">op=62  g=M[11]  shift=10</t>
  </si>
  <si>
    <t xml:space="preserve">op=63  g=M[2]  shift=15</t>
  </si>
  <si>
    <t xml:space="preserve">op=64  g=M[9]  shift=21</t>
  </si>
  <si>
    <t xml:space="preserve">FINAL</t>
  </si>
  <si>
    <t xml:space="preserve">← Add back initial A₀,B₀,C₀,D₀  (mod 2³²)  — Davies–Meyer feed-forward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</si>
</sst>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22"/>
      <color rgb="FF1F3864"/>
      <name val="Calibri"/>
      <family val="0"/>
      <charset val="1"/>
    </font>
    <font>
      <b val="true"/>
      <sz val="14"/>
      <color rgb="FF1F3864"/>
      <name val="Courier New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9"/>
      <color rgb="FF375623"/>
      <name val="Calibri"/>
      <family val="0"/>
      <charset val="1"/>
    </font>
    <font>
      <i val="true"/>
      <sz val="9"/>
      <color rgb="FF833C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000000"/>
      <name val="Courier New"/>
      <family val="0"/>
      <charset val="1"/>
    </font>
    <font>
      <i val="true"/>
      <sz val="9"/>
      <color rgb="FF1F3864"/>
      <name val="Calibri"/>
      <family val="0"/>
      <charset val="1"/>
    </font>
    <font>
      <sz val="8"/>
      <color rgb="FF404040"/>
      <name val="Calibri"/>
      <family val="0"/>
      <charset val="1"/>
    </font>
    <font>
      <b val="true"/>
      <sz val="12"/>
      <color rgb="FF1F3864"/>
      <name val="Courier New"/>
      <family val="0"/>
      <charset val="1"/>
    </font>
    <font>
      <b val="true"/>
      <sz val="8"/>
      <color rgb="FFFFFFFF"/>
      <name val="Calibri"/>
      <family val="0"/>
      <charset val="1"/>
    </font>
    <font>
      <i val="true"/>
      <sz val="8"/>
      <color rgb="FF404040"/>
      <name val="Calibri"/>
      <family val="0"/>
      <charset val="1"/>
    </font>
    <font>
      <sz val="8"/>
      <color rgb="FF000000"/>
      <name val="Courier New"/>
      <family val="0"/>
      <charset val="1"/>
    </font>
    <font>
      <sz val="7"/>
      <color rgb="FF000000"/>
      <name val="Courier New"/>
      <family val="0"/>
      <charset val="1"/>
    </font>
    <font>
      <i val="true"/>
      <sz val="9"/>
      <color rgb="FF404040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EEBF7"/>
      </patternFill>
    </fill>
    <fill>
      <patternFill patternType="solid">
        <fgColor rgb="FFD6E4F7"/>
        <bgColor rgb="FFDEEBF7"/>
      </patternFill>
    </fill>
    <fill>
      <patternFill patternType="solid">
        <fgColor rgb="FFFCE4D6"/>
        <bgColor rgb="FFFFF2CC"/>
      </patternFill>
    </fill>
    <fill>
      <patternFill patternType="solid">
        <fgColor rgb="FFF4F6FB"/>
        <bgColor rgb="FFF5F5F5"/>
      </patternFill>
    </fill>
    <fill>
      <patternFill patternType="solid">
        <fgColor rgb="FFFFFFFF"/>
        <bgColor rgb="FFF8F8F8"/>
      </patternFill>
    </fill>
    <fill>
      <patternFill patternType="solid">
        <fgColor rgb="FFEEF4FF"/>
        <bgColor rgb="FFF4F6FB"/>
      </patternFill>
    </fill>
    <fill>
      <patternFill patternType="solid">
        <fgColor rgb="FFF5F5F5"/>
        <bgColor rgb="FFF4F6FB"/>
      </patternFill>
    </fill>
    <fill>
      <patternFill patternType="solid">
        <fgColor rgb="FFF8F8F8"/>
        <bgColor rgb="FFF4F6FB"/>
      </patternFill>
    </fill>
    <fill>
      <patternFill patternType="solid">
        <fgColor rgb="FFDEEBF7"/>
        <bgColor rgb="FFD6E4F7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 diagonalUp="false" diagonalDown="false"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70AD47"/>
      </left>
      <right/>
      <top style="thin">
        <color rgb="FF70AD47"/>
      </top>
      <bottom style="thin">
        <color rgb="FF70AD47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7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E2EFDA"/>
      <rgbColor rgb="FFF5F5F5"/>
      <rgbColor rgb="FFF2F2F2"/>
      <rgbColor rgb="FFF4F6FB"/>
      <rgbColor rgb="FFF8F8F8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70AD47"/>
      <rgbColor rgb="FF1F3864"/>
      <rgbColor rgb="FF339966"/>
      <rgbColor rgb="FF003300"/>
      <rgbColor rgb="FF375623"/>
      <rgbColor rgb="FF833C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44"/>
  </cols>
  <sheetData>
    <row r="1" customFormat="false" ht="37.5" hidden="false" customHeight="true" outlineLevel="0" collapsed="false">
      <c r="B1" s="2" t="s">
        <v>0</v>
      </c>
      <c r="C1" s="2"/>
    </row>
    <row r="2" customFormat="false" ht="15" hidden="false" customHeight="true" outlineLevel="0" collapsed="false">
      <c r="B2" s="3" t="s">
        <v>1</v>
      </c>
      <c r="C2" s="3"/>
    </row>
    <row r="4" customFormat="false" ht="24" hidden="false" customHeight="true" outlineLevel="0" collapsed="false">
      <c r="B4" s="4" t="s">
        <v>2</v>
      </c>
      <c r="C4" s="4"/>
    </row>
    <row r="5" customFormat="false" ht="39.75" hidden="false" customHeight="true" outlineLevel="0" collapsed="false">
      <c r="B5" s="5" t="s">
        <v>3</v>
      </c>
      <c r="C5" s="5"/>
    </row>
    <row r="7" customFormat="false" ht="21.75" hidden="false" customHeight="true" outlineLevel="0" collapsed="false">
      <c r="B7" s="6" t="s">
        <v>4</v>
      </c>
      <c r="C7" s="6"/>
    </row>
    <row r="8" customFormat="false" ht="33.75" hidden="false" customHeight="true" outlineLevel="0" collapsed="false">
      <c r="B8" s="7" t="str">
        <f aca="false">'⚙️ Compute'!E2</f>
        <v>5d41402abc4b2a76b9719d911017c592</v>
      </c>
      <c r="C8" s="7"/>
    </row>
    <row r="10" customFormat="false" ht="15" hidden="false" customHeight="true" outlineLevel="0" collapsed="false">
      <c r="B10" s="8" t="s">
        <v>5</v>
      </c>
      <c r="C10" s="8"/>
    </row>
    <row r="12" customFormat="false" ht="27.75" hidden="false" customHeight="true" outlineLevel="0" collapsed="false">
      <c r="B12" s="9" t="s">
        <v>6</v>
      </c>
      <c r="C12" s="9"/>
    </row>
    <row r="13" customFormat="false" ht="21.75" hidden="false" customHeight="true" outlineLevel="0" collapsed="false">
      <c r="B13" s="10" t="s">
        <v>7</v>
      </c>
      <c r="C13" s="10"/>
    </row>
  </sheetData>
  <mergeCells count="9">
    <mergeCell ref="B1:C1"/>
    <mergeCell ref="B2:C2"/>
    <mergeCell ref="B4:C4"/>
    <mergeCell ref="B5:C5"/>
    <mergeCell ref="B7:C7"/>
    <mergeCell ref="B8:C8"/>
    <mergeCell ref="B10:C10"/>
    <mergeCell ref="B12:C12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74"/>
  </cols>
  <sheetData>
    <row r="1" customFormat="false" ht="30" hidden="false" customHeight="true" outlineLevel="0" collapsed="false">
      <c r="B1" s="11" t="s">
        <v>8</v>
      </c>
      <c r="C1" s="11"/>
    </row>
    <row r="2" customFormat="false" ht="15" hidden="false" customHeight="true" outlineLevel="0" collapsed="false">
      <c r="B2" s="12" t="s">
        <v>9</v>
      </c>
      <c r="C2" s="12"/>
    </row>
    <row r="3" customFormat="false" ht="34.5" hidden="false" customHeight="true" outlineLevel="0" collapsed="false">
      <c r="B3" s="13" t="s">
        <v>10</v>
      </c>
      <c r="C3" s="13"/>
    </row>
    <row r="4" customFormat="false" ht="15" hidden="false" customHeight="true" outlineLevel="0" collapsed="false">
      <c r="B4" s="12" t="s">
        <v>11</v>
      </c>
      <c r="C4" s="12"/>
    </row>
    <row r="5" customFormat="false" ht="45.75" hidden="false" customHeight="true" outlineLevel="0" collapsed="false">
      <c r="B5" s="13" t="s">
        <v>12</v>
      </c>
      <c r="C5" s="13"/>
    </row>
    <row r="6" customFormat="false" ht="15" hidden="false" customHeight="true" outlineLevel="0" collapsed="false">
      <c r="B6" s="12" t="s">
        <v>13</v>
      </c>
      <c r="C6" s="12"/>
    </row>
    <row r="7" customFormat="false" ht="45.75" hidden="false" customHeight="true" outlineLevel="0" collapsed="false">
      <c r="B7" s="13" t="s">
        <v>14</v>
      </c>
      <c r="C7" s="13"/>
    </row>
    <row r="8" customFormat="false" ht="15" hidden="false" customHeight="true" outlineLevel="0" collapsed="false">
      <c r="B8" s="12" t="s">
        <v>15</v>
      </c>
      <c r="C8" s="12"/>
    </row>
    <row r="9" customFormat="false" ht="45.75" hidden="false" customHeight="true" outlineLevel="0" collapsed="false">
      <c r="B9" s="13" t="s">
        <v>16</v>
      </c>
      <c r="C9" s="13"/>
    </row>
    <row r="10" customFormat="false" ht="15" hidden="false" customHeight="true" outlineLevel="0" collapsed="false">
      <c r="B10" s="12" t="s">
        <v>17</v>
      </c>
      <c r="C10" s="12"/>
    </row>
    <row r="11" customFormat="false" ht="63.75" hidden="false" customHeight="true" outlineLevel="0" collapsed="false">
      <c r="B11" s="13" t="s">
        <v>18</v>
      </c>
      <c r="C11" s="13"/>
    </row>
    <row r="12" customFormat="false" ht="15" hidden="false" customHeight="true" outlineLevel="0" collapsed="false">
      <c r="B12" s="12" t="s">
        <v>19</v>
      </c>
      <c r="C12" s="12"/>
    </row>
    <row r="13" customFormat="false" ht="81.75" hidden="false" customHeight="true" outlineLevel="0" collapsed="false">
      <c r="B13" s="13" t="s">
        <v>20</v>
      </c>
      <c r="C13" s="13"/>
    </row>
    <row r="14" customFormat="false" ht="15" hidden="false" customHeight="true" outlineLevel="0" collapsed="false">
      <c r="B14" s="12" t="s">
        <v>21</v>
      </c>
      <c r="C14" s="12"/>
    </row>
    <row r="15" customFormat="false" ht="45.75" hidden="false" customHeight="true" outlineLevel="0" collapsed="false">
      <c r="B15" s="13" t="s">
        <v>22</v>
      </c>
      <c r="C15" s="13"/>
    </row>
    <row r="16" customFormat="false" ht="15" hidden="false" customHeight="true" outlineLevel="0" collapsed="false">
      <c r="B16" s="12" t="s">
        <v>23</v>
      </c>
      <c r="C16" s="12"/>
    </row>
    <row r="17" customFormat="false" ht="45.75" hidden="false" customHeight="true" outlineLevel="0" collapsed="false">
      <c r="B17" s="13" t="s">
        <v>24</v>
      </c>
      <c r="C17" s="13"/>
    </row>
    <row r="18" customFormat="false" ht="15" hidden="false" customHeight="true" outlineLevel="0" collapsed="false">
      <c r="B18" s="12" t="s">
        <v>25</v>
      </c>
      <c r="C18" s="12"/>
    </row>
    <row r="19" customFormat="false" ht="45.75" hidden="false" customHeight="true" outlineLevel="0" collapsed="false">
      <c r="B19" s="13" t="s">
        <v>26</v>
      </c>
      <c r="C19" s="13"/>
    </row>
    <row r="20" customFormat="false" ht="15" hidden="false" customHeight="true" outlineLevel="0" collapsed="false">
      <c r="B20" s="12" t="s">
        <v>27</v>
      </c>
      <c r="C20" s="12"/>
    </row>
    <row r="21" customFormat="false" ht="135.75" hidden="false" customHeight="true" outlineLevel="0" collapsed="false">
      <c r="B21" s="13" t="s">
        <v>28</v>
      </c>
      <c r="C21" s="13"/>
    </row>
  </sheetData>
  <mergeCells count="21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12" min="5" style="1" width="8"/>
    <col collapsed="false" customWidth="true" hidden="false" outlineLevel="0" max="13" min="13" style="1" width="16"/>
  </cols>
  <sheetData>
    <row r="1" customFormat="false" ht="27.75" hidden="false" customHeight="true" outlineLevel="0" collapsed="false">
      <c r="B1" s="14" t="s">
        <v>29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5" hidden="false" customHeight="true" outlineLevel="0" collapsed="false">
      <c r="B2" s="15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  <c r="H2" s="15" t="s">
        <v>36</v>
      </c>
      <c r="I2" s="15" t="s">
        <v>37</v>
      </c>
      <c r="J2" s="15" t="s">
        <v>38</v>
      </c>
      <c r="K2" s="15" t="s">
        <v>39</v>
      </c>
      <c r="L2" s="15" t="s">
        <v>40</v>
      </c>
      <c r="M2" s="15" t="s">
        <v>41</v>
      </c>
    </row>
    <row r="3" customFormat="false" ht="15" hidden="false" customHeight="true" outlineLevel="0" collapsed="false">
      <c r="B3" s="16" t="n">
        <v>1</v>
      </c>
      <c r="C3" s="17" t="str">
        <f aca="false">IF(LEN('🔐 MD5'!B5)&gt;=1,MID('🔐 MD5'!B5,1,1),"-")</f>
        <v>h</v>
      </c>
      <c r="D3" s="18" t="n">
        <f aca="false">IF(C3&lt;&gt;"-",CODE(C3),"")</f>
        <v>104</v>
      </c>
      <c r="E3" s="18" t="str">
        <f aca="false">IF(D3&lt;&gt;"",MID("0123456789abcdef",MOD(INT(D3/16),16)+1,1)&amp;MID("0123456789abcdef",MOD(MOD(D3,16),16)+1,1),"")</f>
        <v>68</v>
      </c>
      <c r="F3" s="18" t="n">
        <f aca="false">IF(D3&lt;&gt;"",MOD(INT(D3/2^7),2),"")</f>
        <v>0</v>
      </c>
      <c r="G3" s="19" t="n">
        <f aca="false">IF(D3&lt;&gt;"",MOD(INT(D3/2^6),2),"")</f>
        <v>1</v>
      </c>
      <c r="H3" s="18" t="n">
        <f aca="false">IF(D3&lt;&gt;"",MOD(INT(D3/2^5),2),"")</f>
        <v>1</v>
      </c>
      <c r="I3" s="19" t="n">
        <f aca="false">IF(D3&lt;&gt;"",MOD(INT(D3/2^4),2),"")</f>
        <v>0</v>
      </c>
      <c r="J3" s="18" t="n">
        <f aca="false">IF(D3&lt;&gt;"",MOD(INT(D3/2^3),2),"")</f>
        <v>1</v>
      </c>
      <c r="K3" s="19" t="n">
        <f aca="false">IF(D3&lt;&gt;"",MOD(INT(D3/2^2),2),"")</f>
        <v>0</v>
      </c>
      <c r="L3" s="18" t="n">
        <f aca="false">IF(D3&lt;&gt;"",MOD(INT(D3/2^1),2),"")</f>
        <v>0</v>
      </c>
      <c r="M3" s="19" t="n">
        <f aca="false">IF(D3&lt;&gt;"",MOD(INT(D3/2^0),2),"")</f>
        <v>0</v>
      </c>
    </row>
    <row r="4" customFormat="false" ht="15" hidden="false" customHeight="true" outlineLevel="0" collapsed="false">
      <c r="B4" s="16" t="n">
        <v>2</v>
      </c>
      <c r="C4" s="17" t="str">
        <f aca="false">IF(LEN('🔐 MD5'!B5)&gt;=2,MID('🔐 MD5'!B5,2,1),"-")</f>
        <v>e</v>
      </c>
      <c r="D4" s="18" t="n">
        <f aca="false">IF(C4&lt;&gt;"-",CODE(C4),"")</f>
        <v>101</v>
      </c>
      <c r="E4" s="18" t="str">
        <f aca="false">IF(D4&lt;&gt;"",MID("0123456789abcdef",MOD(INT(D4/16),16)+1,1)&amp;MID("0123456789abcdef",MOD(MOD(D4,16),16)+1,1),"")</f>
        <v>65</v>
      </c>
      <c r="F4" s="18" t="n">
        <f aca="false">IF(D4&lt;&gt;"",MOD(INT(D4/2^7),2),"")</f>
        <v>0</v>
      </c>
      <c r="G4" s="19" t="n">
        <f aca="false">IF(D4&lt;&gt;"",MOD(INT(D4/2^6),2),"")</f>
        <v>1</v>
      </c>
      <c r="H4" s="18" t="n">
        <f aca="false">IF(D4&lt;&gt;"",MOD(INT(D4/2^5),2),"")</f>
        <v>1</v>
      </c>
      <c r="I4" s="19" t="n">
        <f aca="false">IF(D4&lt;&gt;"",MOD(INT(D4/2^4),2),"")</f>
        <v>0</v>
      </c>
      <c r="J4" s="18" t="n">
        <f aca="false">IF(D4&lt;&gt;"",MOD(INT(D4/2^3),2),"")</f>
        <v>0</v>
      </c>
      <c r="K4" s="19" t="n">
        <f aca="false">IF(D4&lt;&gt;"",MOD(INT(D4/2^2),2),"")</f>
        <v>1</v>
      </c>
      <c r="L4" s="18" t="n">
        <f aca="false">IF(D4&lt;&gt;"",MOD(INT(D4/2^1),2),"")</f>
        <v>0</v>
      </c>
      <c r="M4" s="19" t="n">
        <f aca="false">IF(D4&lt;&gt;"",MOD(INT(D4/2^0),2),"")</f>
        <v>1</v>
      </c>
    </row>
    <row r="5" customFormat="false" ht="15" hidden="false" customHeight="true" outlineLevel="0" collapsed="false">
      <c r="B5" s="16" t="n">
        <v>3</v>
      </c>
      <c r="C5" s="17" t="str">
        <f aca="false">IF(LEN('🔐 MD5'!B5)&gt;=3,MID('🔐 MD5'!B5,3,1),"-")</f>
        <v>l</v>
      </c>
      <c r="D5" s="18" t="n">
        <f aca="false">IF(C5&lt;&gt;"-",CODE(C5),"")</f>
        <v>108</v>
      </c>
      <c r="E5" s="18" t="str">
        <f aca="false">IF(D5&lt;&gt;"",MID("0123456789abcdef",MOD(INT(D5/16),16)+1,1)&amp;MID("0123456789abcdef",MOD(MOD(D5,16),16)+1,1),"")</f>
        <v>6c</v>
      </c>
      <c r="F5" s="18" t="n">
        <f aca="false">IF(D5&lt;&gt;"",MOD(INT(D5/2^7),2),"")</f>
        <v>0</v>
      </c>
      <c r="G5" s="19" t="n">
        <f aca="false">IF(D5&lt;&gt;"",MOD(INT(D5/2^6),2),"")</f>
        <v>1</v>
      </c>
      <c r="H5" s="18" t="n">
        <f aca="false">IF(D5&lt;&gt;"",MOD(INT(D5/2^5),2),"")</f>
        <v>1</v>
      </c>
      <c r="I5" s="19" t="n">
        <f aca="false">IF(D5&lt;&gt;"",MOD(INT(D5/2^4),2),"")</f>
        <v>0</v>
      </c>
      <c r="J5" s="18" t="n">
        <f aca="false">IF(D5&lt;&gt;"",MOD(INT(D5/2^3),2),"")</f>
        <v>1</v>
      </c>
      <c r="K5" s="19" t="n">
        <f aca="false">IF(D5&lt;&gt;"",MOD(INT(D5/2^2),2),"")</f>
        <v>1</v>
      </c>
      <c r="L5" s="18" t="n">
        <f aca="false">IF(D5&lt;&gt;"",MOD(INT(D5/2^1),2),"")</f>
        <v>0</v>
      </c>
      <c r="M5" s="19" t="n">
        <f aca="false">IF(D5&lt;&gt;"",MOD(INT(D5/2^0),2),"")</f>
        <v>0</v>
      </c>
    </row>
    <row r="6" customFormat="false" ht="15" hidden="false" customHeight="true" outlineLevel="0" collapsed="false">
      <c r="B6" s="16" t="n">
        <v>4</v>
      </c>
      <c r="C6" s="17" t="str">
        <f aca="false">IF(LEN('🔐 MD5'!B5)&gt;=4,MID('🔐 MD5'!B5,4,1),"-")</f>
        <v>l</v>
      </c>
      <c r="D6" s="18" t="n">
        <f aca="false">IF(C6&lt;&gt;"-",CODE(C6),"")</f>
        <v>108</v>
      </c>
      <c r="E6" s="18" t="str">
        <f aca="false">IF(D6&lt;&gt;"",MID("0123456789abcdef",MOD(INT(D6/16),16)+1,1)&amp;MID("0123456789abcdef",MOD(MOD(D6,16),16)+1,1),"")</f>
        <v>6c</v>
      </c>
      <c r="F6" s="18" t="n">
        <f aca="false">IF(D6&lt;&gt;"",MOD(INT(D6/2^7),2),"")</f>
        <v>0</v>
      </c>
      <c r="G6" s="19" t="n">
        <f aca="false">IF(D6&lt;&gt;"",MOD(INT(D6/2^6),2),"")</f>
        <v>1</v>
      </c>
      <c r="H6" s="18" t="n">
        <f aca="false">IF(D6&lt;&gt;"",MOD(INT(D6/2^5),2),"")</f>
        <v>1</v>
      </c>
      <c r="I6" s="19" t="n">
        <f aca="false">IF(D6&lt;&gt;"",MOD(INT(D6/2^4),2),"")</f>
        <v>0</v>
      </c>
      <c r="J6" s="18" t="n">
        <f aca="false">IF(D6&lt;&gt;"",MOD(INT(D6/2^3),2),"")</f>
        <v>1</v>
      </c>
      <c r="K6" s="19" t="n">
        <f aca="false">IF(D6&lt;&gt;"",MOD(INT(D6/2^2),2),"")</f>
        <v>1</v>
      </c>
      <c r="L6" s="18" t="n">
        <f aca="false">IF(D6&lt;&gt;"",MOD(INT(D6/2^1),2),"")</f>
        <v>0</v>
      </c>
      <c r="M6" s="19" t="n">
        <f aca="false">IF(D6&lt;&gt;"",MOD(INT(D6/2^0),2),"")</f>
        <v>0</v>
      </c>
    </row>
    <row r="7" customFormat="false" ht="15" hidden="false" customHeight="true" outlineLevel="0" collapsed="false">
      <c r="B7" s="16" t="n">
        <v>5</v>
      </c>
      <c r="C7" s="17" t="str">
        <f aca="false">IF(LEN('🔐 MD5'!B5)&gt;=5,MID('🔐 MD5'!B5,5,1),"-")</f>
        <v>o</v>
      </c>
      <c r="D7" s="18" t="n">
        <f aca="false">IF(C7&lt;&gt;"-",CODE(C7),"")</f>
        <v>111</v>
      </c>
      <c r="E7" s="18" t="str">
        <f aca="false">IF(D7&lt;&gt;"",MID("0123456789abcdef",MOD(INT(D7/16),16)+1,1)&amp;MID("0123456789abcdef",MOD(MOD(D7,16),16)+1,1),"")</f>
        <v>6f</v>
      </c>
      <c r="F7" s="18" t="n">
        <f aca="false">IF(D7&lt;&gt;"",MOD(INT(D7/2^7),2),"")</f>
        <v>0</v>
      </c>
      <c r="G7" s="19" t="n">
        <f aca="false">IF(D7&lt;&gt;"",MOD(INT(D7/2^6),2),"")</f>
        <v>1</v>
      </c>
      <c r="H7" s="18" t="n">
        <f aca="false">IF(D7&lt;&gt;"",MOD(INT(D7/2^5),2),"")</f>
        <v>1</v>
      </c>
      <c r="I7" s="19" t="n">
        <f aca="false">IF(D7&lt;&gt;"",MOD(INT(D7/2^4),2),"")</f>
        <v>0</v>
      </c>
      <c r="J7" s="18" t="n">
        <f aca="false">IF(D7&lt;&gt;"",MOD(INT(D7/2^3),2),"")</f>
        <v>1</v>
      </c>
      <c r="K7" s="19" t="n">
        <f aca="false">IF(D7&lt;&gt;"",MOD(INT(D7/2^2),2),"")</f>
        <v>1</v>
      </c>
      <c r="L7" s="18" t="n">
        <f aca="false">IF(D7&lt;&gt;"",MOD(INT(D7/2^1),2),"")</f>
        <v>1</v>
      </c>
      <c r="M7" s="19" t="n">
        <f aca="false">IF(D7&lt;&gt;"",MOD(INT(D7/2^0),2),"")</f>
        <v>1</v>
      </c>
    </row>
    <row r="8" customFormat="false" ht="15" hidden="false" customHeight="true" outlineLevel="0" collapsed="false">
      <c r="B8" s="16" t="n">
        <v>6</v>
      </c>
      <c r="C8" s="17" t="str">
        <f aca="false">IF(LEN('🔐 MD5'!B5)&gt;=6,MID('🔐 MD5'!B5,6,1),"-")</f>
        <v>-</v>
      </c>
      <c r="D8" s="18" t="str">
        <f aca="false">IF(C8&lt;&gt;"-",CODE(C8),"")</f>
        <v/>
      </c>
      <c r="E8" s="18" t="str">
        <f aca="false">IF(D8&lt;&gt;"",MID("0123456789abcdef",MOD(INT(D8/16),16)+1,1)&amp;MID("0123456789abcdef",MOD(MOD(D8,16),16)+1,1),"")</f>
        <v/>
      </c>
      <c r="F8" s="18" t="str">
        <f aca="false">IF(D8&lt;&gt;"",MOD(INT(D8/2^7),2),"")</f>
        <v/>
      </c>
      <c r="G8" s="19" t="str">
        <f aca="false">IF(D8&lt;&gt;"",MOD(INT(D8/2^6),2),"")</f>
        <v/>
      </c>
      <c r="H8" s="18" t="str">
        <f aca="false">IF(D8&lt;&gt;"",MOD(INT(D8/2^5),2),"")</f>
        <v/>
      </c>
      <c r="I8" s="19" t="str">
        <f aca="false">IF(D8&lt;&gt;"",MOD(INT(D8/2^4),2),"")</f>
        <v/>
      </c>
      <c r="J8" s="18" t="str">
        <f aca="false">IF(D8&lt;&gt;"",MOD(INT(D8/2^3),2),"")</f>
        <v/>
      </c>
      <c r="K8" s="19" t="str">
        <f aca="false">IF(D8&lt;&gt;"",MOD(INT(D8/2^2),2),"")</f>
        <v/>
      </c>
      <c r="L8" s="18" t="str">
        <f aca="false">IF(D8&lt;&gt;"",MOD(INT(D8/2^1),2),"")</f>
        <v/>
      </c>
      <c r="M8" s="19" t="str">
        <f aca="false">IF(D8&lt;&gt;"",MOD(INT(D8/2^0),2),"")</f>
        <v/>
      </c>
    </row>
    <row r="9" customFormat="false" ht="15" hidden="false" customHeight="true" outlineLevel="0" collapsed="false">
      <c r="B9" s="16" t="n">
        <v>7</v>
      </c>
      <c r="C9" s="17" t="str">
        <f aca="false">IF(LEN('🔐 MD5'!B5)&gt;=7,MID('🔐 MD5'!B5,7,1),"-")</f>
        <v>-</v>
      </c>
      <c r="D9" s="18" t="str">
        <f aca="false">IF(C9&lt;&gt;"-",CODE(C9),"")</f>
        <v/>
      </c>
      <c r="E9" s="18" t="str">
        <f aca="false">IF(D9&lt;&gt;"",MID("0123456789abcdef",MOD(INT(D9/16),16)+1,1)&amp;MID("0123456789abcdef",MOD(MOD(D9,16),16)+1,1),"")</f>
        <v/>
      </c>
      <c r="F9" s="18" t="str">
        <f aca="false">IF(D9&lt;&gt;"",MOD(INT(D9/2^7),2),"")</f>
        <v/>
      </c>
      <c r="G9" s="19" t="str">
        <f aca="false">IF(D9&lt;&gt;"",MOD(INT(D9/2^6),2),"")</f>
        <v/>
      </c>
      <c r="H9" s="18" t="str">
        <f aca="false">IF(D9&lt;&gt;"",MOD(INT(D9/2^5),2),"")</f>
        <v/>
      </c>
      <c r="I9" s="19" t="str">
        <f aca="false">IF(D9&lt;&gt;"",MOD(INT(D9/2^4),2),"")</f>
        <v/>
      </c>
      <c r="J9" s="18" t="str">
        <f aca="false">IF(D9&lt;&gt;"",MOD(INT(D9/2^3),2),"")</f>
        <v/>
      </c>
      <c r="K9" s="19" t="str">
        <f aca="false">IF(D9&lt;&gt;"",MOD(INT(D9/2^2),2),"")</f>
        <v/>
      </c>
      <c r="L9" s="18" t="str">
        <f aca="false">IF(D9&lt;&gt;"",MOD(INT(D9/2^1),2),"")</f>
        <v/>
      </c>
      <c r="M9" s="19" t="str">
        <f aca="false">IF(D9&lt;&gt;"",MOD(INT(D9/2^0),2),"")</f>
        <v/>
      </c>
    </row>
  </sheetData>
  <mergeCells count="1">
    <mergeCell ref="B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6"/>
    <col collapsed="false" customWidth="true" hidden="false" outlineLevel="0" max="9" min="8" style="1" width="10"/>
  </cols>
  <sheetData>
    <row r="1" customFormat="false" ht="27.75" hidden="false" customHeight="true" outlineLevel="0" collapsed="false">
      <c r="B1" s="14" t="s">
        <v>42</v>
      </c>
      <c r="C1" s="14"/>
      <c r="D1" s="14"/>
      <c r="E1" s="14"/>
      <c r="F1" s="14"/>
      <c r="G1" s="14"/>
      <c r="H1" s="14"/>
      <c r="I1" s="14"/>
    </row>
    <row r="2" customFormat="false" ht="15" hidden="false" customHeight="true" outlineLevel="0" collapsed="false">
      <c r="B2" s="20" t="s">
        <v>43</v>
      </c>
      <c r="C2" s="20"/>
      <c r="D2" s="20"/>
      <c r="E2" s="20"/>
      <c r="F2" s="20"/>
      <c r="G2" s="20"/>
      <c r="H2" s="20"/>
      <c r="I2" s="20"/>
    </row>
    <row r="3" customFormat="false" ht="15" hidden="false" customHeight="true" outlineLevel="0" collapsed="false">
      <c r="B3" s="15" t="s">
        <v>44</v>
      </c>
      <c r="C3" s="15" t="s">
        <v>45</v>
      </c>
      <c r="D3" s="15" t="s">
        <v>46</v>
      </c>
      <c r="E3" s="15" t="s">
        <v>47</v>
      </c>
      <c r="F3" s="21"/>
      <c r="G3" s="15" t="s">
        <v>44</v>
      </c>
      <c r="H3" s="15" t="s">
        <v>48</v>
      </c>
      <c r="I3" s="15" t="s">
        <v>47</v>
      </c>
    </row>
    <row r="4" customFormat="false" ht="15" hidden="false" customHeight="true" outlineLevel="0" collapsed="false">
      <c r="B4" s="22" t="n">
        <v>0</v>
      </c>
      <c r="C4" s="18" t="n">
        <v>3614090360</v>
      </c>
      <c r="D4" s="18" t="s">
        <v>49</v>
      </c>
      <c r="E4" s="23" t="s">
        <v>50</v>
      </c>
      <c r="F4" s="24"/>
      <c r="G4" s="22" t="n">
        <v>0</v>
      </c>
      <c r="H4" s="18" t="n">
        <v>7</v>
      </c>
      <c r="I4" s="23" t="s">
        <v>50</v>
      </c>
    </row>
    <row r="5" customFormat="false" ht="15" hidden="false" customHeight="true" outlineLevel="0" collapsed="false">
      <c r="B5" s="22" t="n">
        <v>1</v>
      </c>
      <c r="C5" s="18" t="n">
        <v>3905402710</v>
      </c>
      <c r="D5" s="18" t="s">
        <v>51</v>
      </c>
      <c r="E5" s="23" t="s">
        <v>50</v>
      </c>
      <c r="F5" s="24"/>
      <c r="G5" s="22" t="n">
        <v>1</v>
      </c>
      <c r="H5" s="18" t="n">
        <v>12</v>
      </c>
      <c r="I5" s="23" t="s">
        <v>50</v>
      </c>
    </row>
    <row r="6" customFormat="false" ht="15" hidden="false" customHeight="true" outlineLevel="0" collapsed="false">
      <c r="B6" s="22" t="n">
        <v>2</v>
      </c>
      <c r="C6" s="18" t="n">
        <v>606105819</v>
      </c>
      <c r="D6" s="18" t="s">
        <v>52</v>
      </c>
      <c r="E6" s="23" t="s">
        <v>50</v>
      </c>
      <c r="F6" s="24"/>
      <c r="G6" s="22" t="n">
        <v>2</v>
      </c>
      <c r="H6" s="18" t="n">
        <v>17</v>
      </c>
      <c r="I6" s="23" t="s">
        <v>50</v>
      </c>
    </row>
    <row r="7" customFormat="false" ht="15" hidden="false" customHeight="true" outlineLevel="0" collapsed="false">
      <c r="B7" s="22" t="n">
        <v>3</v>
      </c>
      <c r="C7" s="18" t="n">
        <v>3250441966</v>
      </c>
      <c r="D7" s="18" t="s">
        <v>53</v>
      </c>
      <c r="E7" s="23" t="s">
        <v>50</v>
      </c>
      <c r="F7" s="24"/>
      <c r="G7" s="22" t="n">
        <v>3</v>
      </c>
      <c r="H7" s="18" t="n">
        <v>22</v>
      </c>
      <c r="I7" s="23" t="s">
        <v>50</v>
      </c>
    </row>
    <row r="8" customFormat="false" ht="15" hidden="false" customHeight="true" outlineLevel="0" collapsed="false">
      <c r="B8" s="22" t="n">
        <v>4</v>
      </c>
      <c r="C8" s="18" t="n">
        <v>4118548399</v>
      </c>
      <c r="D8" s="18" t="s">
        <v>54</v>
      </c>
      <c r="E8" s="23" t="s">
        <v>50</v>
      </c>
      <c r="F8" s="24"/>
      <c r="G8" s="22" t="n">
        <v>4</v>
      </c>
      <c r="H8" s="18" t="n">
        <v>7</v>
      </c>
      <c r="I8" s="23" t="s">
        <v>50</v>
      </c>
    </row>
    <row r="9" customFormat="false" ht="15" hidden="false" customHeight="true" outlineLevel="0" collapsed="false">
      <c r="B9" s="22" t="n">
        <v>5</v>
      </c>
      <c r="C9" s="18" t="n">
        <v>1200080426</v>
      </c>
      <c r="D9" s="18" t="s">
        <v>55</v>
      </c>
      <c r="E9" s="23" t="s">
        <v>50</v>
      </c>
      <c r="F9" s="24"/>
      <c r="G9" s="22" t="n">
        <v>5</v>
      </c>
      <c r="H9" s="18" t="n">
        <v>12</v>
      </c>
      <c r="I9" s="23" t="s">
        <v>50</v>
      </c>
    </row>
    <row r="10" customFormat="false" ht="15" hidden="false" customHeight="true" outlineLevel="0" collapsed="false">
      <c r="B10" s="22" t="n">
        <v>6</v>
      </c>
      <c r="C10" s="18" t="n">
        <v>2821735955</v>
      </c>
      <c r="D10" s="18" t="s">
        <v>56</v>
      </c>
      <c r="E10" s="23" t="s">
        <v>50</v>
      </c>
      <c r="F10" s="24"/>
      <c r="G10" s="22" t="n">
        <v>6</v>
      </c>
      <c r="H10" s="18" t="n">
        <v>17</v>
      </c>
      <c r="I10" s="23" t="s">
        <v>50</v>
      </c>
    </row>
    <row r="11" customFormat="false" ht="15" hidden="false" customHeight="true" outlineLevel="0" collapsed="false">
      <c r="B11" s="22" t="n">
        <v>7</v>
      </c>
      <c r="C11" s="18" t="n">
        <v>4249261313</v>
      </c>
      <c r="D11" s="18" t="s">
        <v>57</v>
      </c>
      <c r="E11" s="23" t="s">
        <v>50</v>
      </c>
      <c r="F11" s="24"/>
      <c r="G11" s="22" t="n">
        <v>7</v>
      </c>
      <c r="H11" s="18" t="n">
        <v>22</v>
      </c>
      <c r="I11" s="23" t="s">
        <v>50</v>
      </c>
    </row>
    <row r="12" customFormat="false" ht="15" hidden="false" customHeight="true" outlineLevel="0" collapsed="false">
      <c r="B12" s="22" t="n">
        <v>8</v>
      </c>
      <c r="C12" s="18" t="n">
        <v>1770035416</v>
      </c>
      <c r="D12" s="18" t="s">
        <v>58</v>
      </c>
      <c r="E12" s="23" t="s">
        <v>50</v>
      </c>
      <c r="F12" s="24"/>
      <c r="G12" s="22" t="n">
        <v>8</v>
      </c>
      <c r="H12" s="18" t="n">
        <v>7</v>
      </c>
      <c r="I12" s="23" t="s">
        <v>50</v>
      </c>
    </row>
    <row r="13" customFormat="false" ht="15" hidden="false" customHeight="true" outlineLevel="0" collapsed="false">
      <c r="B13" s="22" t="n">
        <v>9</v>
      </c>
      <c r="C13" s="18" t="n">
        <v>2336552879</v>
      </c>
      <c r="D13" s="18" t="s">
        <v>59</v>
      </c>
      <c r="E13" s="23" t="s">
        <v>50</v>
      </c>
      <c r="F13" s="24"/>
      <c r="G13" s="22" t="n">
        <v>9</v>
      </c>
      <c r="H13" s="18" t="n">
        <v>12</v>
      </c>
      <c r="I13" s="23" t="s">
        <v>50</v>
      </c>
    </row>
    <row r="14" customFormat="false" ht="15" hidden="false" customHeight="true" outlineLevel="0" collapsed="false">
      <c r="B14" s="22" t="n">
        <v>10</v>
      </c>
      <c r="C14" s="18" t="n">
        <v>4294925233</v>
      </c>
      <c r="D14" s="18" t="s">
        <v>60</v>
      </c>
      <c r="E14" s="23" t="s">
        <v>50</v>
      </c>
      <c r="F14" s="24"/>
      <c r="G14" s="22" t="n">
        <v>10</v>
      </c>
      <c r="H14" s="18" t="n">
        <v>17</v>
      </c>
      <c r="I14" s="23" t="s">
        <v>50</v>
      </c>
    </row>
    <row r="15" customFormat="false" ht="15" hidden="false" customHeight="true" outlineLevel="0" collapsed="false">
      <c r="B15" s="22" t="n">
        <v>11</v>
      </c>
      <c r="C15" s="18" t="n">
        <v>2304563134</v>
      </c>
      <c r="D15" s="18" t="s">
        <v>61</v>
      </c>
      <c r="E15" s="23" t="s">
        <v>50</v>
      </c>
      <c r="F15" s="24"/>
      <c r="G15" s="22" t="n">
        <v>11</v>
      </c>
      <c r="H15" s="18" t="n">
        <v>22</v>
      </c>
      <c r="I15" s="23" t="s">
        <v>50</v>
      </c>
    </row>
    <row r="16" customFormat="false" ht="15" hidden="false" customHeight="true" outlineLevel="0" collapsed="false">
      <c r="B16" s="22" t="n">
        <v>12</v>
      </c>
      <c r="C16" s="18" t="n">
        <v>1804603682</v>
      </c>
      <c r="D16" s="18" t="s">
        <v>62</v>
      </c>
      <c r="E16" s="23" t="s">
        <v>50</v>
      </c>
      <c r="F16" s="24"/>
      <c r="G16" s="22" t="n">
        <v>12</v>
      </c>
      <c r="H16" s="18" t="n">
        <v>7</v>
      </c>
      <c r="I16" s="23" t="s">
        <v>50</v>
      </c>
    </row>
    <row r="17" customFormat="false" ht="15" hidden="false" customHeight="true" outlineLevel="0" collapsed="false">
      <c r="B17" s="22" t="n">
        <v>13</v>
      </c>
      <c r="C17" s="18" t="n">
        <v>4254626195</v>
      </c>
      <c r="D17" s="18" t="s">
        <v>63</v>
      </c>
      <c r="E17" s="23" t="s">
        <v>50</v>
      </c>
      <c r="F17" s="24"/>
      <c r="G17" s="22" t="n">
        <v>13</v>
      </c>
      <c r="H17" s="18" t="n">
        <v>12</v>
      </c>
      <c r="I17" s="23" t="s">
        <v>50</v>
      </c>
    </row>
    <row r="18" customFormat="false" ht="15" hidden="false" customHeight="true" outlineLevel="0" collapsed="false">
      <c r="B18" s="22" t="n">
        <v>14</v>
      </c>
      <c r="C18" s="18" t="n">
        <v>2792965006</v>
      </c>
      <c r="D18" s="18" t="s">
        <v>64</v>
      </c>
      <c r="E18" s="23" t="s">
        <v>50</v>
      </c>
      <c r="F18" s="24"/>
      <c r="G18" s="22" t="n">
        <v>14</v>
      </c>
      <c r="H18" s="18" t="n">
        <v>17</v>
      </c>
      <c r="I18" s="23" t="s">
        <v>50</v>
      </c>
    </row>
    <row r="19" customFormat="false" ht="15" hidden="false" customHeight="true" outlineLevel="0" collapsed="false">
      <c r="B19" s="22" t="n">
        <v>15</v>
      </c>
      <c r="C19" s="18" t="n">
        <v>1236535329</v>
      </c>
      <c r="D19" s="18" t="s">
        <v>65</v>
      </c>
      <c r="E19" s="23" t="s">
        <v>50</v>
      </c>
      <c r="F19" s="24"/>
      <c r="G19" s="22" t="n">
        <v>15</v>
      </c>
      <c r="H19" s="18" t="n">
        <v>22</v>
      </c>
      <c r="I19" s="23" t="s">
        <v>50</v>
      </c>
    </row>
    <row r="20" customFormat="false" ht="15" hidden="false" customHeight="true" outlineLevel="0" collapsed="false">
      <c r="B20" s="25" t="n">
        <v>16</v>
      </c>
      <c r="C20" s="18" t="n">
        <v>4129170786</v>
      </c>
      <c r="D20" s="18" t="s">
        <v>66</v>
      </c>
      <c r="E20" s="26" t="s">
        <v>67</v>
      </c>
      <c r="F20" s="24"/>
      <c r="G20" s="25" t="n">
        <v>16</v>
      </c>
      <c r="H20" s="18" t="n">
        <v>5</v>
      </c>
      <c r="I20" s="26" t="s">
        <v>67</v>
      </c>
    </row>
    <row r="21" customFormat="false" ht="15" hidden="false" customHeight="true" outlineLevel="0" collapsed="false">
      <c r="B21" s="25" t="n">
        <v>17</v>
      </c>
      <c r="C21" s="18" t="n">
        <v>3225465664</v>
      </c>
      <c r="D21" s="18" t="s">
        <v>68</v>
      </c>
      <c r="E21" s="26" t="s">
        <v>67</v>
      </c>
      <c r="F21" s="24"/>
      <c r="G21" s="25" t="n">
        <v>17</v>
      </c>
      <c r="H21" s="18" t="n">
        <v>9</v>
      </c>
      <c r="I21" s="26" t="s">
        <v>67</v>
      </c>
    </row>
    <row r="22" customFormat="false" ht="15" hidden="false" customHeight="true" outlineLevel="0" collapsed="false">
      <c r="B22" s="25" t="n">
        <v>18</v>
      </c>
      <c r="C22" s="18" t="n">
        <v>643717713</v>
      </c>
      <c r="D22" s="18" t="s">
        <v>69</v>
      </c>
      <c r="E22" s="26" t="s">
        <v>67</v>
      </c>
      <c r="F22" s="24"/>
      <c r="G22" s="25" t="n">
        <v>18</v>
      </c>
      <c r="H22" s="18" t="n">
        <v>14</v>
      </c>
      <c r="I22" s="26" t="s">
        <v>67</v>
      </c>
    </row>
    <row r="23" customFormat="false" ht="15" hidden="false" customHeight="true" outlineLevel="0" collapsed="false">
      <c r="B23" s="25" t="n">
        <v>19</v>
      </c>
      <c r="C23" s="18" t="n">
        <v>3921069994</v>
      </c>
      <c r="D23" s="18" t="s">
        <v>70</v>
      </c>
      <c r="E23" s="26" t="s">
        <v>67</v>
      </c>
      <c r="F23" s="24"/>
      <c r="G23" s="25" t="n">
        <v>19</v>
      </c>
      <c r="H23" s="18" t="n">
        <v>20</v>
      </c>
      <c r="I23" s="26" t="s">
        <v>67</v>
      </c>
    </row>
    <row r="24" customFormat="false" ht="15" hidden="false" customHeight="true" outlineLevel="0" collapsed="false">
      <c r="B24" s="25" t="n">
        <v>20</v>
      </c>
      <c r="C24" s="18" t="n">
        <v>3593408605</v>
      </c>
      <c r="D24" s="18" t="s">
        <v>71</v>
      </c>
      <c r="E24" s="26" t="s">
        <v>67</v>
      </c>
      <c r="F24" s="24"/>
      <c r="G24" s="25" t="n">
        <v>20</v>
      </c>
      <c r="H24" s="18" t="n">
        <v>5</v>
      </c>
      <c r="I24" s="26" t="s">
        <v>67</v>
      </c>
    </row>
    <row r="25" customFormat="false" ht="15" hidden="false" customHeight="true" outlineLevel="0" collapsed="false">
      <c r="B25" s="25" t="n">
        <v>21</v>
      </c>
      <c r="C25" s="18" t="n">
        <v>38016083</v>
      </c>
      <c r="D25" s="18" t="s">
        <v>72</v>
      </c>
      <c r="E25" s="26" t="s">
        <v>67</v>
      </c>
      <c r="F25" s="24"/>
      <c r="G25" s="25" t="n">
        <v>21</v>
      </c>
      <c r="H25" s="18" t="n">
        <v>9</v>
      </c>
      <c r="I25" s="26" t="s">
        <v>67</v>
      </c>
    </row>
    <row r="26" customFormat="false" ht="15" hidden="false" customHeight="true" outlineLevel="0" collapsed="false">
      <c r="B26" s="25" t="n">
        <v>22</v>
      </c>
      <c r="C26" s="18" t="n">
        <v>3634488961</v>
      </c>
      <c r="D26" s="18" t="s">
        <v>73</v>
      </c>
      <c r="E26" s="26" t="s">
        <v>67</v>
      </c>
      <c r="F26" s="24"/>
      <c r="G26" s="25" t="n">
        <v>22</v>
      </c>
      <c r="H26" s="18" t="n">
        <v>14</v>
      </c>
      <c r="I26" s="26" t="s">
        <v>67</v>
      </c>
    </row>
    <row r="27" customFormat="false" ht="15" hidden="false" customHeight="true" outlineLevel="0" collapsed="false">
      <c r="B27" s="25" t="n">
        <v>23</v>
      </c>
      <c r="C27" s="18" t="n">
        <v>3889429448</v>
      </c>
      <c r="D27" s="18" t="s">
        <v>74</v>
      </c>
      <c r="E27" s="26" t="s">
        <v>67</v>
      </c>
      <c r="F27" s="24"/>
      <c r="G27" s="25" t="n">
        <v>23</v>
      </c>
      <c r="H27" s="18" t="n">
        <v>20</v>
      </c>
      <c r="I27" s="26" t="s">
        <v>67</v>
      </c>
    </row>
    <row r="28" customFormat="false" ht="15" hidden="false" customHeight="true" outlineLevel="0" collapsed="false">
      <c r="B28" s="25" t="n">
        <v>24</v>
      </c>
      <c r="C28" s="18" t="n">
        <v>568446438</v>
      </c>
      <c r="D28" s="18" t="s">
        <v>75</v>
      </c>
      <c r="E28" s="26" t="s">
        <v>67</v>
      </c>
      <c r="F28" s="24"/>
      <c r="G28" s="25" t="n">
        <v>24</v>
      </c>
      <c r="H28" s="18" t="n">
        <v>5</v>
      </c>
      <c r="I28" s="26" t="s">
        <v>67</v>
      </c>
    </row>
    <row r="29" customFormat="false" ht="15" hidden="false" customHeight="true" outlineLevel="0" collapsed="false">
      <c r="B29" s="25" t="n">
        <v>25</v>
      </c>
      <c r="C29" s="18" t="n">
        <v>3275163606</v>
      </c>
      <c r="D29" s="18" t="s">
        <v>76</v>
      </c>
      <c r="E29" s="26" t="s">
        <v>67</v>
      </c>
      <c r="F29" s="24"/>
      <c r="G29" s="25" t="n">
        <v>25</v>
      </c>
      <c r="H29" s="18" t="n">
        <v>9</v>
      </c>
      <c r="I29" s="26" t="s">
        <v>67</v>
      </c>
    </row>
    <row r="30" customFormat="false" ht="15" hidden="false" customHeight="true" outlineLevel="0" collapsed="false">
      <c r="B30" s="25" t="n">
        <v>26</v>
      </c>
      <c r="C30" s="18" t="n">
        <v>4107603335</v>
      </c>
      <c r="D30" s="18" t="s">
        <v>77</v>
      </c>
      <c r="E30" s="26" t="s">
        <v>67</v>
      </c>
      <c r="F30" s="24"/>
      <c r="G30" s="25" t="n">
        <v>26</v>
      </c>
      <c r="H30" s="18" t="n">
        <v>14</v>
      </c>
      <c r="I30" s="26" t="s">
        <v>67</v>
      </c>
    </row>
    <row r="31" customFormat="false" ht="15" hidden="false" customHeight="true" outlineLevel="0" collapsed="false">
      <c r="B31" s="25" t="n">
        <v>27</v>
      </c>
      <c r="C31" s="18" t="n">
        <v>1163531501</v>
      </c>
      <c r="D31" s="18" t="s">
        <v>78</v>
      </c>
      <c r="E31" s="26" t="s">
        <v>67</v>
      </c>
      <c r="F31" s="24"/>
      <c r="G31" s="25" t="n">
        <v>27</v>
      </c>
      <c r="H31" s="18" t="n">
        <v>20</v>
      </c>
      <c r="I31" s="26" t="s">
        <v>67</v>
      </c>
    </row>
    <row r="32" customFormat="false" ht="15" hidden="false" customHeight="true" outlineLevel="0" collapsed="false">
      <c r="B32" s="25" t="n">
        <v>28</v>
      </c>
      <c r="C32" s="18" t="n">
        <v>2850285829</v>
      </c>
      <c r="D32" s="18" t="s">
        <v>79</v>
      </c>
      <c r="E32" s="26" t="s">
        <v>67</v>
      </c>
      <c r="F32" s="24"/>
      <c r="G32" s="25" t="n">
        <v>28</v>
      </c>
      <c r="H32" s="18" t="n">
        <v>5</v>
      </c>
      <c r="I32" s="26" t="s">
        <v>67</v>
      </c>
    </row>
    <row r="33" customFormat="false" ht="15" hidden="false" customHeight="true" outlineLevel="0" collapsed="false">
      <c r="B33" s="25" t="n">
        <v>29</v>
      </c>
      <c r="C33" s="18" t="n">
        <v>4243563512</v>
      </c>
      <c r="D33" s="18" t="s">
        <v>80</v>
      </c>
      <c r="E33" s="26" t="s">
        <v>67</v>
      </c>
      <c r="F33" s="24"/>
      <c r="G33" s="25" t="n">
        <v>29</v>
      </c>
      <c r="H33" s="18" t="n">
        <v>9</v>
      </c>
      <c r="I33" s="26" t="s">
        <v>67</v>
      </c>
    </row>
    <row r="34" customFormat="false" ht="15" hidden="false" customHeight="true" outlineLevel="0" collapsed="false">
      <c r="B34" s="25" t="n">
        <v>30</v>
      </c>
      <c r="C34" s="18" t="n">
        <v>1735328473</v>
      </c>
      <c r="D34" s="18" t="s">
        <v>81</v>
      </c>
      <c r="E34" s="26" t="s">
        <v>67</v>
      </c>
      <c r="F34" s="24"/>
      <c r="G34" s="25" t="n">
        <v>30</v>
      </c>
      <c r="H34" s="18" t="n">
        <v>14</v>
      </c>
      <c r="I34" s="26" t="s">
        <v>67</v>
      </c>
    </row>
    <row r="35" customFormat="false" ht="15" hidden="false" customHeight="true" outlineLevel="0" collapsed="false">
      <c r="B35" s="25" t="n">
        <v>31</v>
      </c>
      <c r="C35" s="18" t="n">
        <v>2368359562</v>
      </c>
      <c r="D35" s="18" t="s">
        <v>82</v>
      </c>
      <c r="E35" s="26" t="s">
        <v>67</v>
      </c>
      <c r="F35" s="24"/>
      <c r="G35" s="25" t="n">
        <v>31</v>
      </c>
      <c r="H35" s="18" t="n">
        <v>20</v>
      </c>
      <c r="I35" s="26" t="s">
        <v>67</v>
      </c>
    </row>
    <row r="36" customFormat="false" ht="15" hidden="false" customHeight="true" outlineLevel="0" collapsed="false">
      <c r="B36" s="27" t="n">
        <v>32</v>
      </c>
      <c r="C36" s="18" t="n">
        <v>4294588738</v>
      </c>
      <c r="D36" s="18" t="s">
        <v>83</v>
      </c>
      <c r="E36" s="28" t="s">
        <v>84</v>
      </c>
      <c r="F36" s="24"/>
      <c r="G36" s="27" t="n">
        <v>32</v>
      </c>
      <c r="H36" s="18" t="n">
        <v>4</v>
      </c>
      <c r="I36" s="28" t="s">
        <v>84</v>
      </c>
    </row>
    <row r="37" customFormat="false" ht="15" hidden="false" customHeight="true" outlineLevel="0" collapsed="false">
      <c r="B37" s="27" t="n">
        <v>33</v>
      </c>
      <c r="C37" s="18" t="n">
        <v>2272392833</v>
      </c>
      <c r="D37" s="18" t="s">
        <v>85</v>
      </c>
      <c r="E37" s="28" t="s">
        <v>84</v>
      </c>
      <c r="F37" s="24"/>
      <c r="G37" s="27" t="n">
        <v>33</v>
      </c>
      <c r="H37" s="18" t="n">
        <v>11</v>
      </c>
      <c r="I37" s="28" t="s">
        <v>84</v>
      </c>
    </row>
    <row r="38" customFormat="false" ht="15" hidden="false" customHeight="true" outlineLevel="0" collapsed="false">
      <c r="B38" s="27" t="n">
        <v>34</v>
      </c>
      <c r="C38" s="18" t="n">
        <v>1839030562</v>
      </c>
      <c r="D38" s="18" t="s">
        <v>86</v>
      </c>
      <c r="E38" s="28" t="s">
        <v>84</v>
      </c>
      <c r="F38" s="24"/>
      <c r="G38" s="27" t="n">
        <v>34</v>
      </c>
      <c r="H38" s="18" t="n">
        <v>16</v>
      </c>
      <c r="I38" s="28" t="s">
        <v>84</v>
      </c>
    </row>
    <row r="39" customFormat="false" ht="15" hidden="false" customHeight="true" outlineLevel="0" collapsed="false">
      <c r="B39" s="27" t="n">
        <v>35</v>
      </c>
      <c r="C39" s="18" t="n">
        <v>4259657740</v>
      </c>
      <c r="D39" s="18" t="s">
        <v>87</v>
      </c>
      <c r="E39" s="28" t="s">
        <v>84</v>
      </c>
      <c r="F39" s="24"/>
      <c r="G39" s="27" t="n">
        <v>35</v>
      </c>
      <c r="H39" s="18" t="n">
        <v>23</v>
      </c>
      <c r="I39" s="28" t="s">
        <v>84</v>
      </c>
    </row>
    <row r="40" customFormat="false" ht="15" hidden="false" customHeight="true" outlineLevel="0" collapsed="false">
      <c r="B40" s="27" t="n">
        <v>36</v>
      </c>
      <c r="C40" s="18" t="n">
        <v>2763975236</v>
      </c>
      <c r="D40" s="18" t="s">
        <v>88</v>
      </c>
      <c r="E40" s="28" t="s">
        <v>84</v>
      </c>
      <c r="F40" s="24"/>
      <c r="G40" s="27" t="n">
        <v>36</v>
      </c>
      <c r="H40" s="18" t="n">
        <v>4</v>
      </c>
      <c r="I40" s="28" t="s">
        <v>84</v>
      </c>
    </row>
    <row r="41" customFormat="false" ht="15" hidden="false" customHeight="true" outlineLevel="0" collapsed="false">
      <c r="B41" s="27" t="n">
        <v>37</v>
      </c>
      <c r="C41" s="18" t="n">
        <v>1272893353</v>
      </c>
      <c r="D41" s="18" t="s">
        <v>89</v>
      </c>
      <c r="E41" s="28" t="s">
        <v>84</v>
      </c>
      <c r="F41" s="24"/>
      <c r="G41" s="27" t="n">
        <v>37</v>
      </c>
      <c r="H41" s="18" t="n">
        <v>11</v>
      </c>
      <c r="I41" s="28" t="s">
        <v>84</v>
      </c>
    </row>
    <row r="42" customFormat="false" ht="15" hidden="false" customHeight="true" outlineLevel="0" collapsed="false">
      <c r="B42" s="27" t="n">
        <v>38</v>
      </c>
      <c r="C42" s="18" t="n">
        <v>4139469664</v>
      </c>
      <c r="D42" s="18" t="s">
        <v>90</v>
      </c>
      <c r="E42" s="28" t="s">
        <v>84</v>
      </c>
      <c r="F42" s="24"/>
      <c r="G42" s="27" t="n">
        <v>38</v>
      </c>
      <c r="H42" s="18" t="n">
        <v>16</v>
      </c>
      <c r="I42" s="28" t="s">
        <v>84</v>
      </c>
    </row>
    <row r="43" customFormat="false" ht="15" hidden="false" customHeight="true" outlineLevel="0" collapsed="false">
      <c r="B43" s="27" t="n">
        <v>39</v>
      </c>
      <c r="C43" s="18" t="n">
        <v>3200236656</v>
      </c>
      <c r="D43" s="18" t="s">
        <v>91</v>
      </c>
      <c r="E43" s="28" t="s">
        <v>84</v>
      </c>
      <c r="F43" s="24"/>
      <c r="G43" s="27" t="n">
        <v>39</v>
      </c>
      <c r="H43" s="18" t="n">
        <v>23</v>
      </c>
      <c r="I43" s="28" t="s">
        <v>84</v>
      </c>
    </row>
    <row r="44" customFormat="false" ht="15" hidden="false" customHeight="true" outlineLevel="0" collapsed="false">
      <c r="B44" s="27" t="n">
        <v>40</v>
      </c>
      <c r="C44" s="18" t="n">
        <v>681279174</v>
      </c>
      <c r="D44" s="18" t="s">
        <v>92</v>
      </c>
      <c r="E44" s="28" t="s">
        <v>84</v>
      </c>
      <c r="F44" s="24"/>
      <c r="G44" s="27" t="n">
        <v>40</v>
      </c>
      <c r="H44" s="18" t="n">
        <v>4</v>
      </c>
      <c r="I44" s="28" t="s">
        <v>84</v>
      </c>
    </row>
    <row r="45" customFormat="false" ht="15" hidden="false" customHeight="true" outlineLevel="0" collapsed="false">
      <c r="B45" s="27" t="n">
        <v>41</v>
      </c>
      <c r="C45" s="18" t="n">
        <v>3936430074</v>
      </c>
      <c r="D45" s="18" t="s">
        <v>93</v>
      </c>
      <c r="E45" s="28" t="s">
        <v>84</v>
      </c>
      <c r="F45" s="24"/>
      <c r="G45" s="27" t="n">
        <v>41</v>
      </c>
      <c r="H45" s="18" t="n">
        <v>11</v>
      </c>
      <c r="I45" s="28" t="s">
        <v>84</v>
      </c>
    </row>
    <row r="46" customFormat="false" ht="15" hidden="false" customHeight="true" outlineLevel="0" collapsed="false">
      <c r="B46" s="27" t="n">
        <v>42</v>
      </c>
      <c r="C46" s="18" t="n">
        <v>3572445317</v>
      </c>
      <c r="D46" s="18" t="s">
        <v>94</v>
      </c>
      <c r="E46" s="28" t="s">
        <v>84</v>
      </c>
      <c r="F46" s="24"/>
      <c r="G46" s="27" t="n">
        <v>42</v>
      </c>
      <c r="H46" s="18" t="n">
        <v>16</v>
      </c>
      <c r="I46" s="28" t="s">
        <v>84</v>
      </c>
    </row>
    <row r="47" customFormat="false" ht="15" hidden="false" customHeight="true" outlineLevel="0" collapsed="false">
      <c r="B47" s="27" t="n">
        <v>43</v>
      </c>
      <c r="C47" s="18" t="n">
        <v>76029189</v>
      </c>
      <c r="D47" s="18" t="s">
        <v>95</v>
      </c>
      <c r="E47" s="28" t="s">
        <v>84</v>
      </c>
      <c r="F47" s="24"/>
      <c r="G47" s="27" t="n">
        <v>43</v>
      </c>
      <c r="H47" s="18" t="n">
        <v>23</v>
      </c>
      <c r="I47" s="28" t="s">
        <v>84</v>
      </c>
    </row>
    <row r="48" customFormat="false" ht="15" hidden="false" customHeight="true" outlineLevel="0" collapsed="false">
      <c r="B48" s="27" t="n">
        <v>44</v>
      </c>
      <c r="C48" s="18" t="n">
        <v>3654602809</v>
      </c>
      <c r="D48" s="18" t="s">
        <v>96</v>
      </c>
      <c r="E48" s="28" t="s">
        <v>84</v>
      </c>
      <c r="F48" s="24"/>
      <c r="G48" s="27" t="n">
        <v>44</v>
      </c>
      <c r="H48" s="18" t="n">
        <v>4</v>
      </c>
      <c r="I48" s="28" t="s">
        <v>84</v>
      </c>
    </row>
    <row r="49" customFormat="false" ht="15" hidden="false" customHeight="true" outlineLevel="0" collapsed="false">
      <c r="B49" s="27" t="n">
        <v>45</v>
      </c>
      <c r="C49" s="18" t="n">
        <v>3873151461</v>
      </c>
      <c r="D49" s="18" t="s">
        <v>97</v>
      </c>
      <c r="E49" s="28" t="s">
        <v>84</v>
      </c>
      <c r="F49" s="24"/>
      <c r="G49" s="27" t="n">
        <v>45</v>
      </c>
      <c r="H49" s="18" t="n">
        <v>11</v>
      </c>
      <c r="I49" s="28" t="s">
        <v>84</v>
      </c>
    </row>
    <row r="50" customFormat="false" ht="15" hidden="false" customHeight="true" outlineLevel="0" collapsed="false">
      <c r="B50" s="27" t="n">
        <v>46</v>
      </c>
      <c r="C50" s="18" t="n">
        <v>530742520</v>
      </c>
      <c r="D50" s="18" t="s">
        <v>98</v>
      </c>
      <c r="E50" s="28" t="s">
        <v>84</v>
      </c>
      <c r="F50" s="24"/>
      <c r="G50" s="27" t="n">
        <v>46</v>
      </c>
      <c r="H50" s="18" t="n">
        <v>16</v>
      </c>
      <c r="I50" s="28" t="s">
        <v>84</v>
      </c>
    </row>
    <row r="51" customFormat="false" ht="15" hidden="false" customHeight="true" outlineLevel="0" collapsed="false">
      <c r="B51" s="27" t="n">
        <v>47</v>
      </c>
      <c r="C51" s="18" t="n">
        <v>3299628645</v>
      </c>
      <c r="D51" s="18" t="s">
        <v>99</v>
      </c>
      <c r="E51" s="28" t="s">
        <v>84</v>
      </c>
      <c r="F51" s="24"/>
      <c r="G51" s="27" t="n">
        <v>47</v>
      </c>
      <c r="H51" s="18" t="n">
        <v>23</v>
      </c>
      <c r="I51" s="28" t="s">
        <v>84</v>
      </c>
    </row>
    <row r="52" customFormat="false" ht="15" hidden="false" customHeight="true" outlineLevel="0" collapsed="false">
      <c r="B52" s="29" t="n">
        <v>48</v>
      </c>
      <c r="C52" s="18" t="n">
        <v>4096336452</v>
      </c>
      <c r="D52" s="18" t="s">
        <v>100</v>
      </c>
      <c r="E52" s="30" t="s">
        <v>101</v>
      </c>
      <c r="F52" s="24"/>
      <c r="G52" s="29" t="n">
        <v>48</v>
      </c>
      <c r="H52" s="18" t="n">
        <v>6</v>
      </c>
      <c r="I52" s="30" t="s">
        <v>101</v>
      </c>
    </row>
    <row r="53" customFormat="false" ht="15" hidden="false" customHeight="true" outlineLevel="0" collapsed="false">
      <c r="B53" s="29" t="n">
        <v>49</v>
      </c>
      <c r="C53" s="18" t="n">
        <v>1126891415</v>
      </c>
      <c r="D53" s="18" t="s">
        <v>102</v>
      </c>
      <c r="E53" s="30" t="s">
        <v>101</v>
      </c>
      <c r="F53" s="24"/>
      <c r="G53" s="29" t="n">
        <v>49</v>
      </c>
      <c r="H53" s="18" t="n">
        <v>10</v>
      </c>
      <c r="I53" s="30" t="s">
        <v>101</v>
      </c>
    </row>
    <row r="54" customFormat="false" ht="15" hidden="false" customHeight="true" outlineLevel="0" collapsed="false">
      <c r="B54" s="29" t="n">
        <v>50</v>
      </c>
      <c r="C54" s="18" t="n">
        <v>2878612391</v>
      </c>
      <c r="D54" s="18" t="s">
        <v>103</v>
      </c>
      <c r="E54" s="30" t="s">
        <v>101</v>
      </c>
      <c r="F54" s="24"/>
      <c r="G54" s="29" t="n">
        <v>50</v>
      </c>
      <c r="H54" s="18" t="n">
        <v>15</v>
      </c>
      <c r="I54" s="30" t="s">
        <v>101</v>
      </c>
    </row>
    <row r="55" customFormat="false" ht="15" hidden="false" customHeight="true" outlineLevel="0" collapsed="false">
      <c r="B55" s="29" t="n">
        <v>51</v>
      </c>
      <c r="C55" s="18" t="n">
        <v>4237533241</v>
      </c>
      <c r="D55" s="18" t="s">
        <v>104</v>
      </c>
      <c r="E55" s="30" t="s">
        <v>101</v>
      </c>
      <c r="F55" s="24"/>
      <c r="G55" s="29" t="n">
        <v>51</v>
      </c>
      <c r="H55" s="18" t="n">
        <v>21</v>
      </c>
      <c r="I55" s="30" t="s">
        <v>101</v>
      </c>
    </row>
    <row r="56" customFormat="false" ht="15" hidden="false" customHeight="true" outlineLevel="0" collapsed="false">
      <c r="B56" s="29" t="n">
        <v>52</v>
      </c>
      <c r="C56" s="18" t="n">
        <v>1700485571</v>
      </c>
      <c r="D56" s="18" t="s">
        <v>105</v>
      </c>
      <c r="E56" s="30" t="s">
        <v>101</v>
      </c>
      <c r="F56" s="24"/>
      <c r="G56" s="29" t="n">
        <v>52</v>
      </c>
      <c r="H56" s="18" t="n">
        <v>6</v>
      </c>
      <c r="I56" s="30" t="s">
        <v>101</v>
      </c>
    </row>
    <row r="57" customFormat="false" ht="15" hidden="false" customHeight="true" outlineLevel="0" collapsed="false">
      <c r="B57" s="29" t="n">
        <v>53</v>
      </c>
      <c r="C57" s="18" t="n">
        <v>2399980690</v>
      </c>
      <c r="D57" s="18" t="s">
        <v>106</v>
      </c>
      <c r="E57" s="30" t="s">
        <v>101</v>
      </c>
      <c r="F57" s="24"/>
      <c r="G57" s="29" t="n">
        <v>53</v>
      </c>
      <c r="H57" s="18" t="n">
        <v>10</v>
      </c>
      <c r="I57" s="30" t="s">
        <v>101</v>
      </c>
    </row>
    <row r="58" customFormat="false" ht="15" hidden="false" customHeight="true" outlineLevel="0" collapsed="false">
      <c r="B58" s="29" t="n">
        <v>54</v>
      </c>
      <c r="C58" s="18" t="n">
        <v>4293915773</v>
      </c>
      <c r="D58" s="18" t="s">
        <v>107</v>
      </c>
      <c r="E58" s="30" t="s">
        <v>101</v>
      </c>
      <c r="F58" s="24"/>
      <c r="G58" s="29" t="n">
        <v>54</v>
      </c>
      <c r="H58" s="18" t="n">
        <v>15</v>
      </c>
      <c r="I58" s="30" t="s">
        <v>101</v>
      </c>
    </row>
    <row r="59" customFormat="false" ht="15" hidden="false" customHeight="true" outlineLevel="0" collapsed="false">
      <c r="B59" s="29" t="n">
        <v>55</v>
      </c>
      <c r="C59" s="18" t="n">
        <v>2240044497</v>
      </c>
      <c r="D59" s="18" t="s">
        <v>108</v>
      </c>
      <c r="E59" s="30" t="s">
        <v>101</v>
      </c>
      <c r="F59" s="24"/>
      <c r="G59" s="29" t="n">
        <v>55</v>
      </c>
      <c r="H59" s="18" t="n">
        <v>21</v>
      </c>
      <c r="I59" s="30" t="s">
        <v>101</v>
      </c>
    </row>
    <row r="60" customFormat="false" ht="15" hidden="false" customHeight="true" outlineLevel="0" collapsed="false">
      <c r="B60" s="29" t="n">
        <v>56</v>
      </c>
      <c r="C60" s="18" t="n">
        <v>1873313359</v>
      </c>
      <c r="D60" s="18" t="s">
        <v>109</v>
      </c>
      <c r="E60" s="30" t="s">
        <v>101</v>
      </c>
      <c r="F60" s="24"/>
      <c r="G60" s="29" t="n">
        <v>56</v>
      </c>
      <c r="H60" s="18" t="n">
        <v>6</v>
      </c>
      <c r="I60" s="30" t="s">
        <v>101</v>
      </c>
    </row>
    <row r="61" customFormat="false" ht="15" hidden="false" customHeight="true" outlineLevel="0" collapsed="false">
      <c r="B61" s="29" t="n">
        <v>57</v>
      </c>
      <c r="C61" s="18" t="n">
        <v>4264355552</v>
      </c>
      <c r="D61" s="18" t="s">
        <v>110</v>
      </c>
      <c r="E61" s="30" t="s">
        <v>101</v>
      </c>
      <c r="F61" s="24"/>
      <c r="G61" s="29" t="n">
        <v>57</v>
      </c>
      <c r="H61" s="18" t="n">
        <v>10</v>
      </c>
      <c r="I61" s="30" t="s">
        <v>101</v>
      </c>
    </row>
    <row r="62" customFormat="false" ht="15" hidden="false" customHeight="true" outlineLevel="0" collapsed="false">
      <c r="B62" s="29" t="n">
        <v>58</v>
      </c>
      <c r="C62" s="18" t="n">
        <v>2734768916</v>
      </c>
      <c r="D62" s="18" t="s">
        <v>111</v>
      </c>
      <c r="E62" s="30" t="s">
        <v>101</v>
      </c>
      <c r="F62" s="24"/>
      <c r="G62" s="29" t="n">
        <v>58</v>
      </c>
      <c r="H62" s="18" t="n">
        <v>15</v>
      </c>
      <c r="I62" s="30" t="s">
        <v>101</v>
      </c>
    </row>
    <row r="63" customFormat="false" ht="15" hidden="false" customHeight="true" outlineLevel="0" collapsed="false">
      <c r="B63" s="29" t="n">
        <v>59</v>
      </c>
      <c r="C63" s="18" t="n">
        <v>1309151649</v>
      </c>
      <c r="D63" s="18" t="s">
        <v>112</v>
      </c>
      <c r="E63" s="30" t="s">
        <v>101</v>
      </c>
      <c r="F63" s="24"/>
      <c r="G63" s="29" t="n">
        <v>59</v>
      </c>
      <c r="H63" s="18" t="n">
        <v>21</v>
      </c>
      <c r="I63" s="30" t="s">
        <v>101</v>
      </c>
    </row>
    <row r="64" customFormat="false" ht="15" hidden="false" customHeight="true" outlineLevel="0" collapsed="false">
      <c r="B64" s="29" t="n">
        <v>60</v>
      </c>
      <c r="C64" s="18" t="n">
        <v>4149444226</v>
      </c>
      <c r="D64" s="18" t="s">
        <v>113</v>
      </c>
      <c r="E64" s="30" t="s">
        <v>101</v>
      </c>
      <c r="F64" s="24"/>
      <c r="G64" s="29" t="n">
        <v>60</v>
      </c>
      <c r="H64" s="18" t="n">
        <v>6</v>
      </c>
      <c r="I64" s="30" t="s">
        <v>101</v>
      </c>
    </row>
    <row r="65" customFormat="false" ht="15" hidden="false" customHeight="true" outlineLevel="0" collapsed="false">
      <c r="B65" s="29" t="n">
        <v>61</v>
      </c>
      <c r="C65" s="18" t="n">
        <v>3174756917</v>
      </c>
      <c r="D65" s="18" t="s">
        <v>114</v>
      </c>
      <c r="E65" s="30" t="s">
        <v>101</v>
      </c>
      <c r="F65" s="24"/>
      <c r="G65" s="29" t="n">
        <v>61</v>
      </c>
      <c r="H65" s="18" t="n">
        <v>10</v>
      </c>
      <c r="I65" s="30" t="s">
        <v>101</v>
      </c>
    </row>
    <row r="66" customFormat="false" ht="15" hidden="false" customHeight="true" outlineLevel="0" collapsed="false">
      <c r="B66" s="29" t="n">
        <v>62</v>
      </c>
      <c r="C66" s="18" t="n">
        <v>718787259</v>
      </c>
      <c r="D66" s="18" t="s">
        <v>115</v>
      </c>
      <c r="E66" s="30" t="s">
        <v>101</v>
      </c>
      <c r="F66" s="24"/>
      <c r="G66" s="29" t="n">
        <v>62</v>
      </c>
      <c r="H66" s="18" t="n">
        <v>15</v>
      </c>
      <c r="I66" s="30" t="s">
        <v>101</v>
      </c>
    </row>
    <row r="67" customFormat="false" ht="15" hidden="false" customHeight="true" outlineLevel="0" collapsed="false">
      <c r="B67" s="29" t="n">
        <v>63</v>
      </c>
      <c r="C67" s="18" t="n">
        <v>3951481745</v>
      </c>
      <c r="D67" s="18" t="s">
        <v>116</v>
      </c>
      <c r="E67" s="30" t="s">
        <v>101</v>
      </c>
      <c r="F67" s="24"/>
      <c r="G67" s="29" t="n">
        <v>63</v>
      </c>
      <c r="H67" s="18" t="n">
        <v>21</v>
      </c>
      <c r="I67" s="30" t="s">
        <v>101</v>
      </c>
    </row>
  </sheetData>
  <mergeCells count="2">
    <mergeCell ref="B1:I1"/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6" min="3" style="1" width="13"/>
    <col collapsed="false" customWidth="true" hidden="false" outlineLevel="0" max="9" min="7" style="1" width="5"/>
    <col collapsed="false" customWidth="true" hidden="false" outlineLevel="0" max="10" min="10" style="1" width="13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3" min="13" style="1" width="6"/>
    <col collapsed="false" customWidth="true" hidden="false" outlineLevel="0" max="16" min="14" style="1" width="13"/>
    <col collapsed="false" customWidth="true" hidden="false" outlineLevel="0" max="17" min="17" style="1" width="22"/>
  </cols>
  <sheetData>
    <row r="1" customFormat="false" ht="27.75" hidden="false" customHeight="true" outlineLevel="0" collapsed="false">
      <c r="B1" s="14" t="s">
        <v>117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25.5" hidden="false" customHeight="true" outlineLevel="0" collapsed="false">
      <c r="B2" s="6" t="s">
        <v>118</v>
      </c>
      <c r="C2" s="6"/>
      <c r="D2" s="6"/>
      <c r="E2" s="31" t="str">
        <f aca="false">LOWER(MID("0123456789abcdef",MOD(INT((MOD(INT(C70/256^0),256))/16),16)+1,1)&amp;MID("0123456789abcdef",MOD(MOD((MOD(INT(C70/256^0),256)),16),16)+1,1)&amp;MID("0123456789abcdef",MOD(INT((MOD(INT(C70/256^1),256))/16),16)+1,1)&amp;MID("0123456789abcdef",MOD(MOD((MOD(INT(C70/256^1),256)),16),16)+1,1)&amp;MID("0123456789abcdef",MOD(INT((MOD(INT(C70/256^2),256))/16),16)+1,1)&amp;MID("0123456789abcdef",MOD(MOD((MOD(INT(C70/256^2),256)),16),16)+1,1)&amp;MID("0123456789abcdef",MOD(INT((MOD(INT(C70/256^3),256))/16),16)+1,1)&amp;MID("0123456789abcdef",MOD(MOD((MOD(INT(C70/256^3),256)),16),16)+1,1)&amp;MID("0123456789abcdef",MOD(INT((MOD(INT(D70/256^0),256))/16),16)+1,1)&amp;MID("0123456789abcdef",MOD(MOD((MOD(INT(D70/256^0),256)),16),16)+1,1)&amp;MID("0123456789abcdef",MOD(INT((MOD(INT(D70/256^1),256))/16),16)+1,1)&amp;MID("0123456789abcdef",MOD(MOD((MOD(INT(D70/256^1),256)),16),16)+1,1)&amp;MID("0123456789abcdef",MOD(INT((MOD(INT(D70/256^2),256))/16),16)+1,1)&amp;MID("0123456789abcdef",MOD(MOD((MOD(INT(D70/256^2),256)),16),16)+1,1)&amp;MID("0123456789abcdef",MOD(INT((MOD(INT(D70/256^3),256))/16),16)+1,1)&amp;MID("0123456789abcdef",MOD(MOD((MOD(INT(D70/256^3),256)),16),16)+1,1)&amp;MID("0123456789abcdef",MOD(INT((MOD(INT(E70/256^0),256))/16),16)+1,1)&amp;MID("0123456789abcdef",MOD(MOD((MOD(INT(E70/256^0),256)),16),16)+1,1)&amp;MID("0123456789abcdef",MOD(INT((MOD(INT(E70/256^1),256))/16),16)+1,1)&amp;MID("0123456789abcdef",MOD(MOD((MOD(INT(E70/256^1),256)),16),16)+1,1)&amp;MID("0123456789abcdef",MOD(INT((MOD(INT(E70/256^2),256))/16),16)+1,1)&amp;MID("0123456789abcdef",MOD(MOD((MOD(INT(E70/256^2),256)),16),16)+1,1)&amp;MID("0123456789abcdef",MOD(INT((MOD(INT(E70/256^3),256))/16),16)+1,1)&amp;MID("0123456789abcdef",MOD(MOD((MOD(INT(E70/256^3),256)),16),16)+1,1)&amp;MID("0123456789abcdef",MOD(INT((MOD(INT(F70/256^0),256))/16),16)+1,1)&amp;MID("0123456789abcdef",MOD(MOD((MOD(INT(F70/256^0),256)),16),16)+1,1)&amp;MID("0123456789abcdef",MOD(INT((MOD(INT(F70/256^1),256))/16),16)+1,1)&amp;MID("0123456789abcdef",MOD(MOD((MOD(INT(F70/256^1),256)),16),16)+1,1)&amp;MID("0123456789abcdef",MOD(INT((MOD(INT(F70/256^2),256))/16),16)+1,1)&amp;MID("0123456789abcdef",MOD(MOD((MOD(INT(F70/256^2),256)),16),16)+1,1)&amp;MID("0123456789abcdef",MOD(INT((MOD(INT(F70/256^3),256))/16),16)+1,1)&amp;MID("0123456789abcdef",MOD(MOD((MOD(INT(F70/256^3),256)),16),16)+1,1))</f>
        <v>5d41402abc4b2a76b9719d911017c592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customFormat="false" ht="27.75" hidden="false" customHeight="true" outlineLevel="0" collapsed="false">
      <c r="B3" s="20" t="s">
        <v>119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customFormat="false" ht="19.5" hidden="false" customHeight="true" outlineLevel="0" collapsed="false">
      <c r="B4" s="32" t="s">
        <v>120</v>
      </c>
      <c r="C4" s="32" t="s">
        <v>121</v>
      </c>
      <c r="D4" s="32" t="s">
        <v>122</v>
      </c>
      <c r="E4" s="32" t="s">
        <v>123</v>
      </c>
      <c r="F4" s="32" t="s">
        <v>124</v>
      </c>
      <c r="G4" s="32" t="s">
        <v>125</v>
      </c>
      <c r="H4" s="32" t="s">
        <v>126</v>
      </c>
      <c r="I4" s="32" t="s">
        <v>127</v>
      </c>
      <c r="J4" s="32" t="s">
        <v>128</v>
      </c>
      <c r="K4" s="32" t="s">
        <v>129</v>
      </c>
      <c r="L4" s="32" t="s">
        <v>130</v>
      </c>
      <c r="M4" s="32" t="s">
        <v>131</v>
      </c>
      <c r="N4" s="32" t="s">
        <v>132</v>
      </c>
      <c r="O4" s="32" t="s">
        <v>133</v>
      </c>
      <c r="P4" s="32" t="s">
        <v>134</v>
      </c>
      <c r="Q4" s="32" t="s">
        <v>135</v>
      </c>
    </row>
    <row r="5" customFormat="false" ht="15.75" hidden="false" customHeight="true" outlineLevel="0" collapsed="false">
      <c r="B5" s="15" t="s">
        <v>136</v>
      </c>
      <c r="C5" s="33" t="n">
        <v>1732584193</v>
      </c>
      <c r="D5" s="33" t="n">
        <v>4023233417</v>
      </c>
      <c r="E5" s="33" t="n">
        <v>2562383102</v>
      </c>
      <c r="F5" s="33" t="n">
        <v>271733878</v>
      </c>
      <c r="G5" s="34" t="s">
        <v>137</v>
      </c>
      <c r="H5" s="34"/>
      <c r="I5" s="34"/>
      <c r="J5" s="34"/>
      <c r="K5" s="34"/>
      <c r="L5" s="34"/>
      <c r="M5" s="34"/>
      <c r="N5" s="34"/>
      <c r="O5" s="34"/>
      <c r="P5" s="34"/>
      <c r="Q5" s="34"/>
    </row>
    <row r="6" customFormat="false" ht="13.5" hidden="false" customHeight="true" outlineLevel="0" collapsed="false">
      <c r="B6" s="32" t="n">
        <v>1</v>
      </c>
      <c r="C6" s="35" t="n">
        <f aca="false">F5</f>
        <v>271733878</v>
      </c>
      <c r="D6" s="35" t="n">
        <f aca="false">MOD(D5+O6,4294967296)</f>
        <v>3679623978</v>
      </c>
      <c r="E6" s="35" t="n">
        <f aca="false">D5</f>
        <v>4023233417</v>
      </c>
      <c r="F6" s="35" t="n">
        <f aca="false">E5</f>
        <v>2562383102</v>
      </c>
      <c r="G6" s="36" t="n">
        <f aca="false">((MOD(INT(MOD(INT((D5)/1),256)/2^0),2)*MOD(INT(MOD(INT((E5)/1),256)/2^0),2)*1+MOD(INT(MOD(INT((D5)/1),256)/2^1),2)*MOD(INT(MOD(INT((E5)/1),256)/2^1),2)*2+MOD(INT(MOD(INT((D5)/1),256)/2^2),2)*MOD(INT(MOD(INT((E5)/1),256)/2^2),2)*4+MOD(INT(MOD(INT((D5)/1),256)/2^3),2)*MOD(INT(MOD(INT((E5)/1),256)/2^3),2)*8+MOD(INT(MOD(INT((D5)/1),256)/2^4),2)*MOD(INT(MOD(INT((E5)/1),256)/2^4),2)*16+MOD(INT(MOD(INT((D5)/1),256)/2^5),2)*MOD(INT(MOD(INT((E5)/1),256)/2^5),2)*32+MOD(INT(MOD(INT((D5)/1),256)/2^6),2)*MOD(INT(MOD(INT((E5)/1),256)/2^6),2)*64+MOD(INT(MOD(INT((D5)/1),256)/2^7),2)*MOD(INT(MOD(INT((E5)/1),256)/2^7),2)*128)*1+(MOD(INT(MOD(INT((D5)/256),256)/2^0),2)*MOD(INT(MOD(INT((E5)/256),256)/2^0),2)*1+MOD(INT(MOD(INT((D5)/256),256)/2^1),2)*MOD(INT(MOD(INT((E5)/256),256)/2^1),2)*2+MOD(INT(MOD(INT((D5)/256),256)/2^2),2)*MOD(INT(MOD(INT((E5)/256),256)/2^2),2)*4+MOD(INT(MOD(INT((D5)/256),256)/2^3),2)*MOD(INT(MOD(INT((E5)/256),256)/2^3),2)*8+MOD(INT(MOD(INT((D5)/256),256)/2^4),2)*MOD(INT(MOD(INT((E5)/256),256)/2^4),2)*16+MOD(INT(MOD(INT((D5)/256),256)/2^5),2)*MOD(INT(MOD(INT((E5)/256),256)/2^5),2)*32+MOD(INT(MOD(INT((D5)/256),256)/2^6),2)*MOD(INT(MOD(INT((E5)/256),256)/2^6),2)*64+MOD(INT(MOD(INT((D5)/256),256)/2^7),2)*MOD(INT(MOD(INT((E5)/256),256)/2^7),2)*128)*256+(MOD(INT(MOD(INT((D5)/65536),256)/2^0),2)*MOD(INT(MOD(INT((E5)/65536),256)/2^0),2)*1+MOD(INT(MOD(INT((D5)/65536),256)/2^1),2)*MOD(INT(MOD(INT((E5)/65536),256)/2^1),2)*2+MOD(INT(MOD(INT((D5)/65536),256)/2^2),2)*MOD(INT(MOD(INT((E5)/65536),256)/2^2),2)*4+MOD(INT(MOD(INT((D5)/65536),256)/2^3),2)*MOD(INT(MOD(INT((E5)/65536),256)/2^3),2)*8+MOD(INT(MOD(INT((D5)/65536),256)/2^4),2)*MOD(INT(MOD(INT((E5)/65536),256)/2^4),2)*16+MOD(INT(MOD(INT((D5)/65536),256)/2^5),2)*MOD(INT(MOD(INT((E5)/65536),256)/2^5),2)*32+MOD(INT(MOD(INT((D5)/65536),256)/2^6),2)*MOD(INT(MOD(INT((E5)/65536),256)/2^6),2)*64+MOD(INT(MOD(INT((D5)/65536),256)/2^7),2)*MOD(INT(MOD(INT((E5)/65536),256)/2^7),2)*128)*65536+(MOD(INT(MOD(INT((D5)/16777216),256)/2^0),2)*MOD(INT(MOD(INT((E5)/16777216),256)/2^0),2)*1+MOD(INT(MOD(INT((D5)/16777216),256)/2^1),2)*MOD(INT(MOD(INT((E5)/16777216),256)/2^1),2)*2+MOD(INT(MOD(INT((D5)/16777216),256)/2^2),2)*MOD(INT(MOD(INT((E5)/16777216),256)/2^2),2)*4+MOD(INT(MOD(INT((D5)/16777216),256)/2^3),2)*MOD(INT(MOD(INT((E5)/16777216),256)/2^3),2)*8+MOD(INT(MOD(INT((D5)/16777216),256)/2^4),2)*MOD(INT(MOD(INT((E5)/16777216),256)/2^4),2)*16+MOD(INT(MOD(INT((D5)/16777216),256)/2^5),2)*MOD(INT(MOD(INT((E5)/16777216),256)/2^5),2)*32+MOD(INT(MOD(INT((D5)/16777216),256)/2^6),2)*MOD(INT(MOD(INT((E5)/16777216),256)/2^6),2)*64+MOD(INT(MOD(INT((D5)/16777216),256)/2^7),2)*MOD(INT(MOD(INT((E5)/16777216),256)/2^7),2)*128)*16777216)</f>
        <v>2290649224</v>
      </c>
      <c r="H6" s="36" t="n">
        <f aca="false">((MOD(INT(MOD(INT(((4294967295-D5))/1),256)/2^0),2)*MOD(INT(MOD(INT((F5)/1),256)/2^0),2)*1+MOD(INT(MOD(INT(((4294967295-D5))/1),256)/2^1),2)*MOD(INT(MOD(INT((F5)/1),256)/2^1),2)*2+MOD(INT(MOD(INT(((4294967295-D5))/1),256)/2^2),2)*MOD(INT(MOD(INT((F5)/1),256)/2^2),2)*4+MOD(INT(MOD(INT(((4294967295-D5))/1),256)/2^3),2)*MOD(INT(MOD(INT((F5)/1),256)/2^3),2)*8+MOD(INT(MOD(INT(((4294967295-D5))/1),256)/2^4),2)*MOD(INT(MOD(INT((F5)/1),256)/2^4),2)*16+MOD(INT(MOD(INT(((4294967295-D5))/1),256)/2^5),2)*MOD(INT(MOD(INT((F5)/1),256)/2^5),2)*32+MOD(INT(MOD(INT(((4294967295-D5))/1),256)/2^6),2)*MOD(INT(MOD(INT((F5)/1),256)/2^6),2)*64+MOD(INT(MOD(INT(((4294967295-D5))/1),256)/2^7),2)*MOD(INT(MOD(INT((F5)/1),256)/2^7),2)*128)*1+(MOD(INT(MOD(INT(((4294967295-D5))/256),256)/2^0),2)*MOD(INT(MOD(INT((F5)/256),256)/2^0),2)*1+MOD(INT(MOD(INT(((4294967295-D5))/256),256)/2^1),2)*MOD(INT(MOD(INT((F5)/256),256)/2^1),2)*2+MOD(INT(MOD(INT(((4294967295-D5))/256),256)/2^2),2)*MOD(INT(MOD(INT((F5)/256),256)/2^2),2)*4+MOD(INT(MOD(INT(((4294967295-D5))/256),256)/2^3),2)*MOD(INT(MOD(INT((F5)/256),256)/2^3),2)*8+MOD(INT(MOD(INT(((4294967295-D5))/256),256)/2^4),2)*MOD(INT(MOD(INT((F5)/256),256)/2^4),2)*16+MOD(INT(MOD(INT(((4294967295-D5))/256),256)/2^5),2)*MOD(INT(MOD(INT((F5)/256),256)/2^5),2)*32+MOD(INT(MOD(INT(((4294967295-D5))/256),256)/2^6),2)*MOD(INT(MOD(INT((F5)/256),256)/2^6),2)*64+MOD(INT(MOD(INT(((4294967295-D5))/256),256)/2^7),2)*MOD(INT(MOD(INT((F5)/256),256)/2^7),2)*128)*256+(MOD(INT(MOD(INT(((4294967295-D5))/65536),256)/2^0),2)*MOD(INT(MOD(INT((F5)/65536),256)/2^0),2)*1+MOD(INT(MOD(INT(((4294967295-D5))/65536),256)/2^1),2)*MOD(INT(MOD(INT((F5)/65536),256)/2^1),2)*2+MOD(INT(MOD(INT(((4294967295-D5))/65536),256)/2^2),2)*MOD(INT(MOD(INT((F5)/65536),256)/2^2),2)*4+MOD(INT(MOD(INT(((4294967295-D5))/65536),256)/2^3),2)*MOD(INT(MOD(INT((F5)/65536),256)/2^3),2)*8+MOD(INT(MOD(INT(((4294967295-D5))/65536),256)/2^4),2)*MOD(INT(MOD(INT((F5)/65536),256)/2^4),2)*16+MOD(INT(MOD(INT(((4294967295-D5))/65536),256)/2^5),2)*MOD(INT(MOD(INT((F5)/65536),256)/2^5),2)*32+MOD(INT(MOD(INT(((4294967295-D5))/65536),256)/2^6),2)*MOD(INT(MOD(INT((F5)/65536),256)/2^6),2)*64+MOD(INT(MOD(INT(((4294967295-D5))/65536),256)/2^7),2)*MOD(INT(MOD(INT((F5)/65536),256)/2^7),2)*128)*65536+(MOD(INT(MOD(INT(((4294967295-D5))/16777216),256)/2^0),2)*MOD(INT(MOD(INT((F5)/16777216),256)/2^0),2)*1+MOD(INT(MOD(INT(((4294967295-D5))/16777216),256)/2^1),2)*MOD(INT(MOD(INT((F5)/16777216),256)/2^1),2)*2+MOD(INT(MOD(INT(((4294967295-D5))/16777216),256)/2^2),2)*MOD(INT(MOD(INT((F5)/16777216),256)/2^2),2)*4+MOD(INT(MOD(INT(((4294967295-D5))/16777216),256)/2^3),2)*MOD(INT(MOD(INT((F5)/16777216),256)/2^3),2)*8+MOD(INT(MOD(INT(((4294967295-D5))/16777216),256)/2^4),2)*MOD(INT(MOD(INT((F5)/16777216),256)/2^4),2)*16+MOD(INT(MOD(INT(((4294967295-D5))/16777216),256)/2^5),2)*MOD(INT(MOD(INT((F5)/16777216),256)/2^5),2)*32+MOD(INT(MOD(INT(((4294967295-D5))/16777216),256)/2^6),2)*MOD(INT(MOD(INT((F5)/16777216),256)/2^6),2)*64+MOD(INT(MOD(INT(((4294967295-D5))/16777216),256)/2^7),2)*MOD(INT(MOD(INT((F5)/16777216),256)/2^7),2)*128)*16777216)</f>
        <v>271733878</v>
      </c>
      <c r="I6" s="37" t="s">
        <v>138</v>
      </c>
      <c r="J6" s="35" t="n">
        <f aca="false">MOD(G6+H6,4294967296)</f>
        <v>2562383102</v>
      </c>
      <c r="K6" s="36" t="n">
        <f aca="false">(IF(LEN('🔐 MD5'!B5)&gt;0,CODE(MID('🔐 MD5'!B5,1,1)),IF(LEN('🔐 MD5'!B5)=0,128,0)))+(IF(LEN('🔐 MD5'!B5)&gt;1,CODE(MID('🔐 MD5'!B5,2,1)),IF(LEN('🔐 MD5'!B5)=1,128,0)))*256+(IF(LEN('🔐 MD5'!B5)&gt;2,CODE(MID('🔐 MD5'!B5,3,1)),IF(LEN('🔐 MD5'!B5)=2,128,0)))*65536+(IF(LEN('🔐 MD5'!B5)&gt;3,CODE(MID('🔐 MD5'!B5,4,1)),IF(LEN('🔐 MD5'!B5)=3,128,0)))*16777216</f>
        <v>1819043176</v>
      </c>
      <c r="L6" s="36" t="n">
        <f aca="false">'📦 MD5 Constants'!C4</f>
        <v>3614090360</v>
      </c>
      <c r="M6" s="36" t="n">
        <f aca="false">'📦 MD5 Constants'!H4</f>
        <v>7</v>
      </c>
      <c r="N6" s="36" t="n">
        <f aca="false">MOD(C5+J6+K6+'📦 MD5 Constants'!C4,4294967296)</f>
        <v>1138166239</v>
      </c>
      <c r="O6" s="36" t="n">
        <f aca="false">MOD(MOD(N6,2^25)*2^7+INT(N6/2^25),4294967296)</f>
        <v>3951357857</v>
      </c>
      <c r="P6" s="35" t="n">
        <f aca="false">D6</f>
        <v>3679623978</v>
      </c>
      <c r="Q6" s="34" t="s">
        <v>139</v>
      </c>
    </row>
    <row r="7" customFormat="false" ht="13.5" hidden="false" customHeight="true" outlineLevel="0" collapsed="false">
      <c r="B7" s="32" t="n">
        <v>2</v>
      </c>
      <c r="C7" s="35" t="n">
        <f aca="false">F6</f>
        <v>2562383102</v>
      </c>
      <c r="D7" s="35" t="n">
        <f aca="false">MOD(D6+O7,4294967296)</f>
        <v>286529400</v>
      </c>
      <c r="E7" s="35" t="n">
        <f aca="false">D6</f>
        <v>3679623978</v>
      </c>
      <c r="F7" s="35" t="n">
        <f aca="false">E6</f>
        <v>4023233417</v>
      </c>
      <c r="G7" s="36" t="n">
        <f aca="false">((MOD(INT(MOD(INT((D6)/1),256)/2^0),2)*MOD(INT(MOD(INT((E6)/1),256)/2^0),2)*1+MOD(INT(MOD(INT((D6)/1),256)/2^1),2)*MOD(INT(MOD(INT((E6)/1),256)/2^1),2)*2+MOD(INT(MOD(INT((D6)/1),256)/2^2),2)*MOD(INT(MOD(INT((E6)/1),256)/2^2),2)*4+MOD(INT(MOD(INT((D6)/1),256)/2^3),2)*MOD(INT(MOD(INT((E6)/1),256)/2^3),2)*8+MOD(INT(MOD(INT((D6)/1),256)/2^4),2)*MOD(INT(MOD(INT((E6)/1),256)/2^4),2)*16+MOD(INT(MOD(INT((D6)/1),256)/2^5),2)*MOD(INT(MOD(INT((E6)/1),256)/2^5),2)*32+MOD(INT(MOD(INT((D6)/1),256)/2^6),2)*MOD(INT(MOD(INT((E6)/1),256)/2^6),2)*64+MOD(INT(MOD(INT((D6)/1),256)/2^7),2)*MOD(INT(MOD(INT((E6)/1),256)/2^7),2)*128)*1+(MOD(INT(MOD(INT((D6)/256),256)/2^0),2)*MOD(INT(MOD(INT((E6)/256),256)/2^0),2)*1+MOD(INT(MOD(INT((D6)/256),256)/2^1),2)*MOD(INT(MOD(INT((E6)/256),256)/2^1),2)*2+MOD(INT(MOD(INT((D6)/256),256)/2^2),2)*MOD(INT(MOD(INT((E6)/256),256)/2^2),2)*4+MOD(INT(MOD(INT((D6)/256),256)/2^3),2)*MOD(INT(MOD(INT((E6)/256),256)/2^3),2)*8+MOD(INT(MOD(INT((D6)/256),256)/2^4),2)*MOD(INT(MOD(INT((E6)/256),256)/2^4),2)*16+MOD(INT(MOD(INT((D6)/256),256)/2^5),2)*MOD(INT(MOD(INT((E6)/256),256)/2^5),2)*32+MOD(INT(MOD(INT((D6)/256),256)/2^6),2)*MOD(INT(MOD(INT((E6)/256),256)/2^6),2)*64+MOD(INT(MOD(INT((D6)/256),256)/2^7),2)*MOD(INT(MOD(INT((E6)/256),256)/2^7),2)*128)*256+(MOD(INT(MOD(INT((D6)/65536),256)/2^0),2)*MOD(INT(MOD(INT((E6)/65536),256)/2^0),2)*1+MOD(INT(MOD(INT((D6)/65536),256)/2^1),2)*MOD(INT(MOD(INT((E6)/65536),256)/2^1),2)*2+MOD(INT(MOD(INT((D6)/65536),256)/2^2),2)*MOD(INT(MOD(INT((E6)/65536),256)/2^2),2)*4+MOD(INT(MOD(INT((D6)/65536),256)/2^3),2)*MOD(INT(MOD(INT((E6)/65536),256)/2^3),2)*8+MOD(INT(MOD(INT((D6)/65536),256)/2^4),2)*MOD(INT(MOD(INT((E6)/65536),256)/2^4),2)*16+MOD(INT(MOD(INT((D6)/65536),256)/2^5),2)*MOD(INT(MOD(INT((E6)/65536),256)/2^5),2)*32+MOD(INT(MOD(INT((D6)/65536),256)/2^6),2)*MOD(INT(MOD(INT((E6)/65536),256)/2^6),2)*64+MOD(INT(MOD(INT((D6)/65536),256)/2^7),2)*MOD(INT(MOD(INT((E6)/65536),256)/2^7),2)*128)*65536+(MOD(INT(MOD(INT((D6)/16777216),256)/2^0),2)*MOD(INT(MOD(INT((E6)/16777216),256)/2^0),2)*1+MOD(INT(MOD(INT((D6)/16777216),256)/2^1),2)*MOD(INT(MOD(INT((E6)/16777216),256)/2^1),2)*2+MOD(INT(MOD(INT((D6)/16777216),256)/2^2),2)*MOD(INT(MOD(INT((E6)/16777216),256)/2^2),2)*4+MOD(INT(MOD(INT((D6)/16777216),256)/2^3),2)*MOD(INT(MOD(INT((E6)/16777216),256)/2^3),2)*8+MOD(INT(MOD(INT((D6)/16777216),256)/2^4),2)*MOD(INT(MOD(INT((E6)/16777216),256)/2^4),2)*16+MOD(INT(MOD(INT((D6)/16777216),256)/2^5),2)*MOD(INT(MOD(INT((E6)/16777216),256)/2^5),2)*32+MOD(INT(MOD(INT((D6)/16777216),256)/2^6),2)*MOD(INT(MOD(INT((E6)/16777216),256)/2^6),2)*64+MOD(INT(MOD(INT((D6)/16777216),256)/2^7),2)*MOD(INT(MOD(INT((E6)/16777216),256)/2^7),2)*128)*16777216)</f>
        <v>3410004744</v>
      </c>
      <c r="H7" s="36" t="n">
        <f aca="false">((MOD(INT(MOD(INT(((4294967295-D6))/1),256)/2^0),2)*MOD(INT(MOD(INT((F6)/1),256)/2^0),2)*1+MOD(INT(MOD(INT(((4294967295-D6))/1),256)/2^1),2)*MOD(INT(MOD(INT((F6)/1),256)/2^1),2)*2+MOD(INT(MOD(INT(((4294967295-D6))/1),256)/2^2),2)*MOD(INT(MOD(INT((F6)/1),256)/2^2),2)*4+MOD(INT(MOD(INT(((4294967295-D6))/1),256)/2^3),2)*MOD(INT(MOD(INT((F6)/1),256)/2^3),2)*8+MOD(INT(MOD(INT(((4294967295-D6))/1),256)/2^4),2)*MOD(INT(MOD(INT((F6)/1),256)/2^4),2)*16+MOD(INT(MOD(INT(((4294967295-D6))/1),256)/2^5),2)*MOD(INT(MOD(INT((F6)/1),256)/2^5),2)*32+MOD(INT(MOD(INT(((4294967295-D6))/1),256)/2^6),2)*MOD(INT(MOD(INT((F6)/1),256)/2^6),2)*64+MOD(INT(MOD(INT(((4294967295-D6))/1),256)/2^7),2)*MOD(INT(MOD(INT((F6)/1),256)/2^7),2)*128)*1+(MOD(INT(MOD(INT(((4294967295-D6))/256),256)/2^0),2)*MOD(INT(MOD(INT((F6)/256),256)/2^0),2)*1+MOD(INT(MOD(INT(((4294967295-D6))/256),256)/2^1),2)*MOD(INT(MOD(INT((F6)/256),256)/2^1),2)*2+MOD(INT(MOD(INT(((4294967295-D6))/256),256)/2^2),2)*MOD(INT(MOD(INT((F6)/256),256)/2^2),2)*4+MOD(INT(MOD(INT(((4294967295-D6))/256),256)/2^3),2)*MOD(INT(MOD(INT((F6)/256),256)/2^3),2)*8+MOD(INT(MOD(INT(((4294967295-D6))/256),256)/2^4),2)*MOD(INT(MOD(INT((F6)/256),256)/2^4),2)*16+MOD(INT(MOD(INT(((4294967295-D6))/256),256)/2^5),2)*MOD(INT(MOD(INT((F6)/256),256)/2^5),2)*32+MOD(INT(MOD(INT(((4294967295-D6))/256),256)/2^6),2)*MOD(INT(MOD(INT((F6)/256),256)/2^6),2)*64+MOD(INT(MOD(INT(((4294967295-D6))/256),256)/2^7),2)*MOD(INT(MOD(INT((F6)/256),256)/2^7),2)*128)*256+(MOD(INT(MOD(INT(((4294967295-D6))/65536),256)/2^0),2)*MOD(INT(MOD(INT((F6)/65536),256)/2^0),2)*1+MOD(INT(MOD(INT(((4294967295-D6))/65536),256)/2^1),2)*MOD(INT(MOD(INT((F6)/65536),256)/2^1),2)*2+MOD(INT(MOD(INT(((4294967295-D6))/65536),256)/2^2),2)*MOD(INT(MOD(INT((F6)/65536),256)/2^2),2)*4+MOD(INT(MOD(INT(((4294967295-D6))/65536),256)/2^3),2)*MOD(INT(MOD(INT((F6)/65536),256)/2^3),2)*8+MOD(INT(MOD(INT(((4294967295-D6))/65536),256)/2^4),2)*MOD(INT(MOD(INT((F6)/65536),256)/2^4),2)*16+MOD(INT(MOD(INT(((4294967295-D6))/65536),256)/2^5),2)*MOD(INT(MOD(INT((F6)/65536),256)/2^5),2)*32+MOD(INT(MOD(INT(((4294967295-D6))/65536),256)/2^6),2)*MOD(INT(MOD(INT((F6)/65536),256)/2^6),2)*64+MOD(INT(MOD(INT(((4294967295-D6))/65536),256)/2^7),2)*MOD(INT(MOD(INT((F6)/65536),256)/2^7),2)*128)*65536+(MOD(INT(MOD(INT(((4294967295-D6))/16777216),256)/2^0),2)*MOD(INT(MOD(INT((F6)/16777216),256)/2^0),2)*1+MOD(INT(MOD(INT(((4294967295-D6))/16777216),256)/2^1),2)*MOD(INT(MOD(INT((F6)/16777216),256)/2^1),2)*2+MOD(INT(MOD(INT(((4294967295-D6))/16777216),256)/2^2),2)*MOD(INT(MOD(INT((F6)/16777216),256)/2^2),2)*4+MOD(INT(MOD(INT(((4294967295-D6))/16777216),256)/2^3),2)*MOD(INT(MOD(INT((F6)/16777216),256)/2^3),2)*8+MOD(INT(MOD(INT(((4294967295-D6))/16777216),256)/2^4),2)*MOD(INT(MOD(INT((F6)/16777216),256)/2^4),2)*16+MOD(INT(MOD(INT(((4294967295-D6))/16777216),256)/2^5),2)*MOD(INT(MOD(INT((F6)/16777216),256)/2^5),2)*32+MOD(INT(MOD(INT(((4294967295-D6))/16777216),256)/2^6),2)*MOD(INT(MOD(INT((F6)/16777216),256)/2^6),2)*64+MOD(INT(MOD(INT(((4294967295-D6))/16777216),256)/2^7),2)*MOD(INT(MOD(INT((F6)/16777216),256)/2^7),2)*128)*16777216)</f>
        <v>11027668</v>
      </c>
      <c r="I7" s="37" t="s">
        <v>138</v>
      </c>
      <c r="J7" s="35" t="n">
        <f aca="false">MOD(G7+H7,4294967296)</f>
        <v>3421032412</v>
      </c>
      <c r="K7" s="36" t="n">
        <f aca="false">(IF(LEN('🔐 MD5'!B5)&gt;4,CODE(MID('🔐 MD5'!B5,5,1)),IF(LEN('🔐 MD5'!B5)=4,128,0)))+(IF(LEN('🔐 MD5'!B5)&gt;5,CODE(MID('🔐 MD5'!B5,6,1)),IF(LEN('🔐 MD5'!B5)=5,128,0)))*256+(IF(LEN('🔐 MD5'!B5)&gt;6,CODE(MID('🔐 MD5'!B5,7,1)),IF(LEN('🔐 MD5'!B5)=6,128,0)))*65536+(IF(LEN('🔐 MD5'!B5)=7,128,0))*16777216</f>
        <v>32879</v>
      </c>
      <c r="L7" s="36" t="n">
        <f aca="false">'📦 MD5 Constants'!C5</f>
        <v>3905402710</v>
      </c>
      <c r="M7" s="36" t="n">
        <f aca="false">'📦 MD5 Constants'!H5</f>
        <v>12</v>
      </c>
      <c r="N7" s="36" t="n">
        <f aca="false">MOD(C6+J7+K7+'📦 MD5 Constants'!C5,4294967296)</f>
        <v>3303234583</v>
      </c>
      <c r="O7" s="36" t="n">
        <f aca="false">MOD(MOD(N7,2^20)*2^12+INT(N7/2^20),4294967296)</f>
        <v>901872718</v>
      </c>
      <c r="P7" s="35" t="n">
        <f aca="false">D7</f>
        <v>286529400</v>
      </c>
      <c r="Q7" s="34" t="s">
        <v>140</v>
      </c>
    </row>
    <row r="8" customFormat="false" ht="13.5" hidden="false" customHeight="true" outlineLevel="0" collapsed="false">
      <c r="B8" s="32" t="n">
        <v>3</v>
      </c>
      <c r="C8" s="35" t="n">
        <f aca="false">F7</f>
        <v>4023233417</v>
      </c>
      <c r="D8" s="35" t="n">
        <f aca="false">MOD(D7+O8,4294967296)</f>
        <v>605655266</v>
      </c>
      <c r="E8" s="35" t="n">
        <f aca="false">D7</f>
        <v>286529400</v>
      </c>
      <c r="F8" s="35" t="n">
        <f aca="false">E7</f>
        <v>3679623978</v>
      </c>
      <c r="G8" s="36" t="n">
        <f aca="false">((MOD(INT(MOD(INT((D7)/1),256)/2^0),2)*MOD(INT(MOD(INT((E7)/1),256)/2^0),2)*1+MOD(INT(MOD(INT((D7)/1),256)/2^1),2)*MOD(INT(MOD(INT((E7)/1),256)/2^1),2)*2+MOD(INT(MOD(INT((D7)/1),256)/2^2),2)*MOD(INT(MOD(INT((E7)/1),256)/2^2),2)*4+MOD(INT(MOD(INT((D7)/1),256)/2^3),2)*MOD(INT(MOD(INT((E7)/1),256)/2^3),2)*8+MOD(INT(MOD(INT((D7)/1),256)/2^4),2)*MOD(INT(MOD(INT((E7)/1),256)/2^4),2)*16+MOD(INT(MOD(INT((D7)/1),256)/2^5),2)*MOD(INT(MOD(INT((E7)/1),256)/2^5),2)*32+MOD(INT(MOD(INT((D7)/1),256)/2^6),2)*MOD(INT(MOD(INT((E7)/1),256)/2^6),2)*64+MOD(INT(MOD(INT((D7)/1),256)/2^7),2)*MOD(INT(MOD(INT((E7)/1),256)/2^7),2)*128)*1+(MOD(INT(MOD(INT((D7)/256),256)/2^0),2)*MOD(INT(MOD(INT((E7)/256),256)/2^0),2)*1+MOD(INT(MOD(INT((D7)/256),256)/2^1),2)*MOD(INT(MOD(INT((E7)/256),256)/2^1),2)*2+MOD(INT(MOD(INT((D7)/256),256)/2^2),2)*MOD(INT(MOD(INT((E7)/256),256)/2^2),2)*4+MOD(INT(MOD(INT((D7)/256),256)/2^3),2)*MOD(INT(MOD(INT((E7)/256),256)/2^3),2)*8+MOD(INT(MOD(INT((D7)/256),256)/2^4),2)*MOD(INT(MOD(INT((E7)/256),256)/2^4),2)*16+MOD(INT(MOD(INT((D7)/256),256)/2^5),2)*MOD(INT(MOD(INT((E7)/256),256)/2^5),2)*32+MOD(INT(MOD(INT((D7)/256),256)/2^6),2)*MOD(INT(MOD(INT((E7)/256),256)/2^6),2)*64+MOD(INT(MOD(INT((D7)/256),256)/2^7),2)*MOD(INT(MOD(INT((E7)/256),256)/2^7),2)*128)*256+(MOD(INT(MOD(INT((D7)/65536),256)/2^0),2)*MOD(INT(MOD(INT((E7)/65536),256)/2^0),2)*1+MOD(INT(MOD(INT((D7)/65536),256)/2^1),2)*MOD(INT(MOD(INT((E7)/65536),256)/2^1),2)*2+MOD(INT(MOD(INT((D7)/65536),256)/2^2),2)*MOD(INT(MOD(INT((E7)/65536),256)/2^2),2)*4+MOD(INT(MOD(INT((D7)/65536),256)/2^3),2)*MOD(INT(MOD(INT((E7)/65536),256)/2^3),2)*8+MOD(INT(MOD(INT((D7)/65536),256)/2^4),2)*MOD(INT(MOD(INT((E7)/65536),256)/2^4),2)*16+MOD(INT(MOD(INT((D7)/65536),256)/2^5),2)*MOD(INT(MOD(INT((E7)/65536),256)/2^5),2)*32+MOD(INT(MOD(INT((D7)/65536),256)/2^6),2)*MOD(INT(MOD(INT((E7)/65536),256)/2^6),2)*64+MOD(INT(MOD(INT((D7)/65536),256)/2^7),2)*MOD(INT(MOD(INT((E7)/65536),256)/2^7),2)*128)*65536+(MOD(INT(MOD(INT((D7)/16777216),256)/2^0),2)*MOD(INT(MOD(INT((E7)/16777216),256)/2^0),2)*1+MOD(INT(MOD(INT((D7)/16777216),256)/2^1),2)*MOD(INT(MOD(INT((E7)/16777216),256)/2^1),2)*2+MOD(INT(MOD(INT((D7)/16777216),256)/2^2),2)*MOD(INT(MOD(INT((E7)/16777216),256)/2^2),2)*4+MOD(INT(MOD(INT((D7)/16777216),256)/2^3),2)*MOD(INT(MOD(INT((E7)/16777216),256)/2^3),2)*8+MOD(INT(MOD(INT((D7)/16777216),256)/2^4),2)*MOD(INT(MOD(INT((E7)/16777216),256)/2^4),2)*16+MOD(INT(MOD(INT((D7)/16777216),256)/2^5),2)*MOD(INT(MOD(INT((E7)/16777216),256)/2^5),2)*32+MOD(INT(MOD(INT((D7)/16777216),256)/2^6),2)*MOD(INT(MOD(INT((E7)/16777216),256)/2^6),2)*64+MOD(INT(MOD(INT((D7)/16777216),256)/2^7),2)*MOD(INT(MOD(INT((E7)/16777216),256)/2^7),2)*128)*16777216)</f>
        <v>286266152</v>
      </c>
      <c r="H8" s="36" t="n">
        <f aca="false">((MOD(INT(MOD(INT(((4294967295-D7))/1),256)/2^0),2)*MOD(INT(MOD(INT((F7)/1),256)/2^0),2)*1+MOD(INT(MOD(INT(((4294967295-D7))/1),256)/2^1),2)*MOD(INT(MOD(INT((F7)/1),256)/2^1),2)*2+MOD(INT(MOD(INT(((4294967295-D7))/1),256)/2^2),2)*MOD(INT(MOD(INT((F7)/1),256)/2^2),2)*4+MOD(INT(MOD(INT(((4294967295-D7))/1),256)/2^3),2)*MOD(INT(MOD(INT((F7)/1),256)/2^3),2)*8+MOD(INT(MOD(INT(((4294967295-D7))/1),256)/2^4),2)*MOD(INT(MOD(INT((F7)/1),256)/2^4),2)*16+MOD(INT(MOD(INT(((4294967295-D7))/1),256)/2^5),2)*MOD(INT(MOD(INT((F7)/1),256)/2^5),2)*32+MOD(INT(MOD(INT(((4294967295-D7))/1),256)/2^6),2)*MOD(INT(MOD(INT((F7)/1),256)/2^6),2)*64+MOD(INT(MOD(INT(((4294967295-D7))/1),256)/2^7),2)*MOD(INT(MOD(INT((F7)/1),256)/2^7),2)*128)*1+(MOD(INT(MOD(INT(((4294967295-D7))/256),256)/2^0),2)*MOD(INT(MOD(INT((F7)/256),256)/2^0),2)*1+MOD(INT(MOD(INT(((4294967295-D7))/256),256)/2^1),2)*MOD(INT(MOD(INT((F7)/256),256)/2^1),2)*2+MOD(INT(MOD(INT(((4294967295-D7))/256),256)/2^2),2)*MOD(INT(MOD(INT((F7)/256),256)/2^2),2)*4+MOD(INT(MOD(INT(((4294967295-D7))/256),256)/2^3),2)*MOD(INT(MOD(INT((F7)/256),256)/2^3),2)*8+MOD(INT(MOD(INT(((4294967295-D7))/256),256)/2^4),2)*MOD(INT(MOD(INT((F7)/256),256)/2^4),2)*16+MOD(INT(MOD(INT(((4294967295-D7))/256),256)/2^5),2)*MOD(INT(MOD(INT((F7)/256),256)/2^5),2)*32+MOD(INT(MOD(INT(((4294967295-D7))/256),256)/2^6),2)*MOD(INT(MOD(INT((F7)/256),256)/2^6),2)*64+MOD(INT(MOD(INT(((4294967295-D7))/256),256)/2^7),2)*MOD(INT(MOD(INT((F7)/256),256)/2^7),2)*128)*256+(MOD(INT(MOD(INT(((4294967295-D7))/65536),256)/2^0),2)*MOD(INT(MOD(INT((F7)/65536),256)/2^0),2)*1+MOD(INT(MOD(INT(((4294967295-D7))/65536),256)/2^1),2)*MOD(INT(MOD(INT((F7)/65536),256)/2^1),2)*2+MOD(INT(MOD(INT(((4294967295-D7))/65536),256)/2^2),2)*MOD(INT(MOD(INT((F7)/65536),256)/2^2),2)*4+MOD(INT(MOD(INT(((4294967295-D7))/65536),256)/2^3),2)*MOD(INT(MOD(INT((F7)/65536),256)/2^3),2)*8+MOD(INT(MOD(INT(((4294967295-D7))/65536),256)/2^4),2)*MOD(INT(MOD(INT((F7)/65536),256)/2^4),2)*16+MOD(INT(MOD(INT(((4294967295-D7))/65536),256)/2^5),2)*MOD(INT(MOD(INT((F7)/65536),256)/2^5),2)*32+MOD(INT(MOD(INT(((4294967295-D7))/65536),256)/2^6),2)*MOD(INT(MOD(INT((F7)/65536),256)/2^6),2)*64+MOD(INT(MOD(INT(((4294967295-D7))/65536),256)/2^7),2)*MOD(INT(MOD(INT((F7)/65536),256)/2^7),2)*128)*65536+(MOD(INT(MOD(INT(((4294967295-D7))/16777216),256)/2^0),2)*MOD(INT(MOD(INT((F7)/16777216),256)/2^0),2)*1+MOD(INT(MOD(INT(((4294967295-D7))/16777216),256)/2^1),2)*MOD(INT(MOD(INT((F7)/16777216),256)/2^1),2)*2+MOD(INT(MOD(INT(((4294967295-D7))/16777216),256)/2^2),2)*MOD(INT(MOD(INT((F7)/16777216),256)/2^2),2)*4+MOD(INT(MOD(INT(((4294967295-D7))/16777216),256)/2^3),2)*MOD(INT(MOD(INT((F7)/16777216),256)/2^3),2)*8+MOD(INT(MOD(INT(((4294967295-D7))/16777216),256)/2^4),2)*MOD(INT(MOD(INT((F7)/16777216),256)/2^4),2)*16+MOD(INT(MOD(INT(((4294967295-D7))/16777216),256)/2^5),2)*MOD(INT(MOD(INT((F7)/16777216),256)/2^5),2)*32+MOD(INT(MOD(INT(((4294967295-D7))/16777216),256)/2^6),2)*MOD(INT(MOD(INT((F7)/16777216),256)/2^6),2)*64+MOD(INT(MOD(INT(((4294967295-D7))/16777216),256)/2^7),2)*MOD(INT(MOD(INT((F7)/16777216),256)/2^7),2)*128)*16777216)</f>
        <v>4006193281</v>
      </c>
      <c r="I8" s="37" t="s">
        <v>138</v>
      </c>
      <c r="J8" s="35" t="n">
        <f aca="false">MOD(G8+H8,4294967296)</f>
        <v>4292459433</v>
      </c>
      <c r="K8" s="36" t="n">
        <f aca="false">(0)+(0)*256+(0)*65536+(0)*16777216</f>
        <v>0</v>
      </c>
      <c r="L8" s="36" t="n">
        <f aca="false">'📦 MD5 Constants'!C6</f>
        <v>606105819</v>
      </c>
      <c r="M8" s="36" t="n">
        <f aca="false">'📦 MD5 Constants'!H6</f>
        <v>17</v>
      </c>
      <c r="N8" s="36" t="n">
        <f aca="false">MOD(C7+J8+K8+'📦 MD5 Constants'!C6,4294967296)</f>
        <v>3165981058</v>
      </c>
      <c r="O8" s="36" t="n">
        <f aca="false">MOD(MOD(N8,2^15)*2^17+INT(N8/2^15),4294967296)</f>
        <v>319125866</v>
      </c>
      <c r="P8" s="35" t="n">
        <f aca="false">D8</f>
        <v>605655266</v>
      </c>
      <c r="Q8" s="34" t="s">
        <v>141</v>
      </c>
    </row>
    <row r="9" customFormat="false" ht="13.5" hidden="false" customHeight="true" outlineLevel="0" collapsed="false">
      <c r="B9" s="32" t="n">
        <v>4</v>
      </c>
      <c r="C9" s="35" t="n">
        <f aca="false">F8</f>
        <v>3679623978</v>
      </c>
      <c r="D9" s="35" t="n">
        <f aca="false">MOD(D8+O9,4294967296)</f>
        <v>2617034823</v>
      </c>
      <c r="E9" s="35" t="n">
        <f aca="false">D8</f>
        <v>605655266</v>
      </c>
      <c r="F9" s="35" t="n">
        <f aca="false">E8</f>
        <v>286529400</v>
      </c>
      <c r="G9" s="36" t="n">
        <f aca="false">((MOD(INT(MOD(INT((D8)/1),256)/2^0),2)*MOD(INT(MOD(INT((E8)/1),256)/2^0),2)*1+MOD(INT(MOD(INT((D8)/1),256)/2^1),2)*MOD(INT(MOD(INT((E8)/1),256)/2^1),2)*2+MOD(INT(MOD(INT((D8)/1),256)/2^2),2)*MOD(INT(MOD(INT((E8)/1),256)/2^2),2)*4+MOD(INT(MOD(INT((D8)/1),256)/2^3),2)*MOD(INT(MOD(INT((E8)/1),256)/2^3),2)*8+MOD(INT(MOD(INT((D8)/1),256)/2^4),2)*MOD(INT(MOD(INT((E8)/1),256)/2^4),2)*16+MOD(INT(MOD(INT((D8)/1),256)/2^5),2)*MOD(INT(MOD(INT((E8)/1),256)/2^5),2)*32+MOD(INT(MOD(INT((D8)/1),256)/2^6),2)*MOD(INT(MOD(INT((E8)/1),256)/2^6),2)*64+MOD(INT(MOD(INT((D8)/1),256)/2^7),2)*MOD(INT(MOD(INT((E8)/1),256)/2^7),2)*128)*1+(MOD(INT(MOD(INT((D8)/256),256)/2^0),2)*MOD(INT(MOD(INT((E8)/256),256)/2^0),2)*1+MOD(INT(MOD(INT((D8)/256),256)/2^1),2)*MOD(INT(MOD(INT((E8)/256),256)/2^1),2)*2+MOD(INT(MOD(INT((D8)/256),256)/2^2),2)*MOD(INT(MOD(INT((E8)/256),256)/2^2),2)*4+MOD(INT(MOD(INT((D8)/256),256)/2^3),2)*MOD(INT(MOD(INT((E8)/256),256)/2^3),2)*8+MOD(INT(MOD(INT((D8)/256),256)/2^4),2)*MOD(INT(MOD(INT((E8)/256),256)/2^4),2)*16+MOD(INT(MOD(INT((D8)/256),256)/2^5),2)*MOD(INT(MOD(INT((E8)/256),256)/2^5),2)*32+MOD(INT(MOD(INT((D8)/256),256)/2^6),2)*MOD(INT(MOD(INT((E8)/256),256)/2^6),2)*64+MOD(INT(MOD(INT((D8)/256),256)/2^7),2)*MOD(INT(MOD(INT((E8)/256),256)/2^7),2)*128)*256+(MOD(INT(MOD(INT((D8)/65536),256)/2^0),2)*MOD(INT(MOD(INT((E8)/65536),256)/2^0),2)*1+MOD(INT(MOD(INT((D8)/65536),256)/2^1),2)*MOD(INT(MOD(INT((E8)/65536),256)/2^1),2)*2+MOD(INT(MOD(INT((D8)/65536),256)/2^2),2)*MOD(INT(MOD(INT((E8)/65536),256)/2^2),2)*4+MOD(INT(MOD(INT((D8)/65536),256)/2^3),2)*MOD(INT(MOD(INT((E8)/65536),256)/2^3),2)*8+MOD(INT(MOD(INT((D8)/65536),256)/2^4),2)*MOD(INT(MOD(INT((E8)/65536),256)/2^4),2)*16+MOD(INT(MOD(INT((D8)/65536),256)/2^5),2)*MOD(INT(MOD(INT((E8)/65536),256)/2^5),2)*32+MOD(INT(MOD(INT((D8)/65536),256)/2^6),2)*MOD(INT(MOD(INT((E8)/65536),256)/2^6),2)*64+MOD(INT(MOD(INT((D8)/65536),256)/2^7),2)*MOD(INT(MOD(INT((E8)/65536),256)/2^7),2)*128)*65536+(MOD(INT(MOD(INT((D8)/16777216),256)/2^0),2)*MOD(INT(MOD(INT((E8)/16777216),256)/2^0),2)*1+MOD(INT(MOD(INT((D8)/16777216),256)/2^1),2)*MOD(INT(MOD(INT((E8)/16777216),256)/2^1),2)*2+MOD(INT(MOD(INT((D8)/16777216),256)/2^2),2)*MOD(INT(MOD(INT((E8)/16777216),256)/2^2),2)*4+MOD(INT(MOD(INT((D8)/16777216),256)/2^3),2)*MOD(INT(MOD(INT((E8)/16777216),256)/2^3),2)*8+MOD(INT(MOD(INT((D8)/16777216),256)/2^4),2)*MOD(INT(MOD(INT((E8)/16777216),256)/2^4),2)*16+MOD(INT(MOD(INT((D8)/16777216),256)/2^5),2)*MOD(INT(MOD(INT((E8)/16777216),256)/2^5),2)*32+MOD(INT(MOD(INT((D8)/16777216),256)/2^6),2)*MOD(INT(MOD(INT((E8)/16777216),256)/2^6),2)*64+MOD(INT(MOD(INT((D8)/16777216),256)/2^7),2)*MOD(INT(MOD(INT((E8)/16777216),256)/2^7),2)*128)*16777216)</f>
        <v>1052768</v>
      </c>
      <c r="H9" s="36" t="n">
        <f aca="false">((MOD(INT(MOD(INT(((4294967295-D8))/1),256)/2^0),2)*MOD(INT(MOD(INT((F8)/1),256)/2^0),2)*1+MOD(INT(MOD(INT(((4294967295-D8))/1),256)/2^1),2)*MOD(INT(MOD(INT((F8)/1),256)/2^1),2)*2+MOD(INT(MOD(INT(((4294967295-D8))/1),256)/2^2),2)*MOD(INT(MOD(INT((F8)/1),256)/2^2),2)*4+MOD(INT(MOD(INT(((4294967295-D8))/1),256)/2^3),2)*MOD(INT(MOD(INT((F8)/1),256)/2^3),2)*8+MOD(INT(MOD(INT(((4294967295-D8))/1),256)/2^4),2)*MOD(INT(MOD(INT((F8)/1),256)/2^4),2)*16+MOD(INT(MOD(INT(((4294967295-D8))/1),256)/2^5),2)*MOD(INT(MOD(INT((F8)/1),256)/2^5),2)*32+MOD(INT(MOD(INT(((4294967295-D8))/1),256)/2^6),2)*MOD(INT(MOD(INT((F8)/1),256)/2^6),2)*64+MOD(INT(MOD(INT(((4294967295-D8))/1),256)/2^7),2)*MOD(INT(MOD(INT((F8)/1),256)/2^7),2)*128)*1+(MOD(INT(MOD(INT(((4294967295-D8))/256),256)/2^0),2)*MOD(INT(MOD(INT((F8)/256),256)/2^0),2)*1+MOD(INT(MOD(INT(((4294967295-D8))/256),256)/2^1),2)*MOD(INT(MOD(INT((F8)/256),256)/2^1),2)*2+MOD(INT(MOD(INT(((4294967295-D8))/256),256)/2^2),2)*MOD(INT(MOD(INT((F8)/256),256)/2^2),2)*4+MOD(INT(MOD(INT(((4294967295-D8))/256),256)/2^3),2)*MOD(INT(MOD(INT((F8)/256),256)/2^3),2)*8+MOD(INT(MOD(INT(((4294967295-D8))/256),256)/2^4),2)*MOD(INT(MOD(INT((F8)/256),256)/2^4),2)*16+MOD(INT(MOD(INT(((4294967295-D8))/256),256)/2^5),2)*MOD(INT(MOD(INT((F8)/256),256)/2^5),2)*32+MOD(INT(MOD(INT(((4294967295-D8))/256),256)/2^6),2)*MOD(INT(MOD(INT((F8)/256),256)/2^6),2)*64+MOD(INT(MOD(INT(((4294967295-D8))/256),256)/2^7),2)*MOD(INT(MOD(INT((F8)/256),256)/2^7),2)*128)*256+(MOD(INT(MOD(INT(((4294967295-D8))/65536),256)/2^0),2)*MOD(INT(MOD(INT((F8)/65536),256)/2^0),2)*1+MOD(INT(MOD(INT(((4294967295-D8))/65536),256)/2^1),2)*MOD(INT(MOD(INT((F8)/65536),256)/2^1),2)*2+MOD(INT(MOD(INT(((4294967295-D8))/65536),256)/2^2),2)*MOD(INT(MOD(INT((F8)/65536),256)/2^2),2)*4+MOD(INT(MOD(INT(((4294967295-D8))/65536),256)/2^3),2)*MOD(INT(MOD(INT((F8)/65536),256)/2^3),2)*8+MOD(INT(MOD(INT(((4294967295-D8))/65536),256)/2^4),2)*MOD(INT(MOD(INT((F8)/65536),256)/2^4),2)*16+MOD(INT(MOD(INT(((4294967295-D8))/65536),256)/2^5),2)*MOD(INT(MOD(INT((F8)/65536),256)/2^5),2)*32+MOD(INT(MOD(INT(((4294967295-D8))/65536),256)/2^6),2)*MOD(INT(MOD(INT((F8)/65536),256)/2^6),2)*64+MOD(INT(MOD(INT(((4294967295-D8))/65536),256)/2^7),2)*MOD(INT(MOD(INT((F8)/65536),256)/2^7),2)*128)*65536+(MOD(INT(MOD(INT(((4294967295-D8))/16777216),256)/2^0),2)*MOD(INT(MOD(INT((F8)/16777216),256)/2^0),2)*1+MOD(INT(MOD(INT(((4294967295-D8))/16777216),256)/2^1),2)*MOD(INT(MOD(INT((F8)/16777216),256)/2^1),2)*2+MOD(INT(MOD(INT(((4294967295-D8))/16777216),256)/2^2),2)*MOD(INT(MOD(INT((F8)/16777216),256)/2^2),2)*4+MOD(INT(MOD(INT(((4294967295-D8))/16777216),256)/2^3),2)*MOD(INT(MOD(INT((F8)/16777216),256)/2^3),2)*8+MOD(INT(MOD(INT(((4294967295-D8))/16777216),256)/2^4),2)*MOD(INT(MOD(INT((F8)/16777216),256)/2^4),2)*16+MOD(INT(MOD(INT(((4294967295-D8))/16777216),256)/2^5),2)*MOD(INT(MOD(INT((F8)/16777216),256)/2^5),2)*32+MOD(INT(MOD(INT(((4294967295-D8))/16777216),256)/2^6),2)*MOD(INT(MOD(INT((F8)/16777216),256)/2^6),2)*64+MOD(INT(MOD(INT(((4294967295-D8))/16777216),256)/2^7),2)*MOD(INT(MOD(INT((F8)/16777216),256)/2^7),2)*128)*16777216)</f>
        <v>3678538504</v>
      </c>
      <c r="I9" s="37" t="s">
        <v>138</v>
      </c>
      <c r="J9" s="35" t="n">
        <f aca="false">MOD(G9+H9,4294967296)</f>
        <v>3679591272</v>
      </c>
      <c r="K9" s="36" t="n">
        <f aca="false">(0)+(0)*256+(0)*65536+(0)*16777216</f>
        <v>0</v>
      </c>
      <c r="L9" s="36" t="n">
        <f aca="false">'📦 MD5 Constants'!C7</f>
        <v>3250441966</v>
      </c>
      <c r="M9" s="36" t="n">
        <f aca="false">'📦 MD5 Constants'!H7</f>
        <v>22</v>
      </c>
      <c r="N9" s="36" t="n">
        <f aca="false">MOD(C8+J9+K9+'📦 MD5 Constants'!C7,4294967296)</f>
        <v>2363332063</v>
      </c>
      <c r="O9" s="36" t="n">
        <f aca="false">MOD(MOD(N9,2^10)*2^22+INT(N9/2^10),4294967296)</f>
        <v>2011379557</v>
      </c>
      <c r="P9" s="35" t="n">
        <f aca="false">D9</f>
        <v>2617034823</v>
      </c>
      <c r="Q9" s="34" t="s">
        <v>142</v>
      </c>
    </row>
    <row r="10" customFormat="false" ht="13.5" hidden="false" customHeight="true" outlineLevel="0" collapsed="false">
      <c r="B10" s="32" t="n">
        <v>5</v>
      </c>
      <c r="C10" s="35" t="n">
        <f aca="false">F9</f>
        <v>286529400</v>
      </c>
      <c r="D10" s="35" t="n">
        <f aca="false">MOD(D9+O10,4294967296)</f>
        <v>262009391</v>
      </c>
      <c r="E10" s="35" t="n">
        <f aca="false">D9</f>
        <v>2617034823</v>
      </c>
      <c r="F10" s="35" t="n">
        <f aca="false">E9</f>
        <v>605655266</v>
      </c>
      <c r="G10" s="36" t="n">
        <f aca="false">((MOD(INT(MOD(INT((D9)/1),256)/2^0),2)*MOD(INT(MOD(INT((E9)/1),256)/2^0),2)*1+MOD(INT(MOD(INT((D9)/1),256)/2^1),2)*MOD(INT(MOD(INT((E9)/1),256)/2^1),2)*2+MOD(INT(MOD(INT((D9)/1),256)/2^2),2)*MOD(INT(MOD(INT((E9)/1),256)/2^2),2)*4+MOD(INT(MOD(INT((D9)/1),256)/2^3),2)*MOD(INT(MOD(INT((E9)/1),256)/2^3),2)*8+MOD(INT(MOD(INT((D9)/1),256)/2^4),2)*MOD(INT(MOD(INT((E9)/1),256)/2^4),2)*16+MOD(INT(MOD(INT((D9)/1),256)/2^5),2)*MOD(INT(MOD(INT((E9)/1),256)/2^5),2)*32+MOD(INT(MOD(INT((D9)/1),256)/2^6),2)*MOD(INT(MOD(INT((E9)/1),256)/2^6),2)*64+MOD(INT(MOD(INT((D9)/1),256)/2^7),2)*MOD(INT(MOD(INT((E9)/1),256)/2^7),2)*128)*1+(MOD(INT(MOD(INT((D9)/256),256)/2^0),2)*MOD(INT(MOD(INT((E9)/256),256)/2^0),2)*1+MOD(INT(MOD(INT((D9)/256),256)/2^1),2)*MOD(INT(MOD(INT((E9)/256),256)/2^1),2)*2+MOD(INT(MOD(INT((D9)/256),256)/2^2),2)*MOD(INT(MOD(INT((E9)/256),256)/2^2),2)*4+MOD(INT(MOD(INT((D9)/256),256)/2^3),2)*MOD(INT(MOD(INT((E9)/256),256)/2^3),2)*8+MOD(INT(MOD(INT((D9)/256),256)/2^4),2)*MOD(INT(MOD(INT((E9)/256),256)/2^4),2)*16+MOD(INT(MOD(INT((D9)/256),256)/2^5),2)*MOD(INT(MOD(INT((E9)/256),256)/2^5),2)*32+MOD(INT(MOD(INT((D9)/256),256)/2^6),2)*MOD(INT(MOD(INT((E9)/256),256)/2^6),2)*64+MOD(INT(MOD(INT((D9)/256),256)/2^7),2)*MOD(INT(MOD(INT((E9)/256),256)/2^7),2)*128)*256+(MOD(INT(MOD(INT((D9)/65536),256)/2^0),2)*MOD(INT(MOD(INT((E9)/65536),256)/2^0),2)*1+MOD(INT(MOD(INT((D9)/65536),256)/2^1),2)*MOD(INT(MOD(INT((E9)/65536),256)/2^1),2)*2+MOD(INT(MOD(INT((D9)/65536),256)/2^2),2)*MOD(INT(MOD(INT((E9)/65536),256)/2^2),2)*4+MOD(INT(MOD(INT((D9)/65536),256)/2^3),2)*MOD(INT(MOD(INT((E9)/65536),256)/2^3),2)*8+MOD(INT(MOD(INT((D9)/65536),256)/2^4),2)*MOD(INT(MOD(INT((E9)/65536),256)/2^4),2)*16+MOD(INT(MOD(INT((D9)/65536),256)/2^5),2)*MOD(INT(MOD(INT((E9)/65536),256)/2^5),2)*32+MOD(INT(MOD(INT((D9)/65536),256)/2^6),2)*MOD(INT(MOD(INT((E9)/65536),256)/2^6),2)*64+MOD(INT(MOD(INT((D9)/65536),256)/2^7),2)*MOD(INT(MOD(INT((E9)/65536),256)/2^7),2)*128)*65536+(MOD(INT(MOD(INT((D9)/16777216),256)/2^0),2)*MOD(INT(MOD(INT((E9)/16777216),256)/2^0),2)*1+MOD(INT(MOD(INT((D9)/16777216),256)/2^1),2)*MOD(INT(MOD(INT((E9)/16777216),256)/2^1),2)*2+MOD(INT(MOD(INT((D9)/16777216),256)/2^2),2)*MOD(INT(MOD(INT((E9)/16777216),256)/2^2),2)*4+MOD(INT(MOD(INT((D9)/16777216),256)/2^3),2)*MOD(INT(MOD(INT((E9)/16777216),256)/2^3),2)*8+MOD(INT(MOD(INT((D9)/16777216),256)/2^4),2)*MOD(INT(MOD(INT((E9)/16777216),256)/2^4),2)*16+MOD(INT(MOD(INT((D9)/16777216),256)/2^5),2)*MOD(INT(MOD(INT((E9)/16777216),256)/2^5),2)*32+MOD(INT(MOD(INT((D9)/16777216),256)/2^6),2)*MOD(INT(MOD(INT((E9)/16777216),256)/2^6),2)*64+MOD(INT(MOD(INT((D9)/16777216),256)/2^7),2)*MOD(INT(MOD(INT((E9)/16777216),256)/2^7),2)*128)*16777216)</f>
        <v>1605698</v>
      </c>
      <c r="H10" s="36" t="n">
        <f aca="false">((MOD(INT(MOD(INT(((4294967295-D9))/1),256)/2^0),2)*MOD(INT(MOD(INT((F9)/1),256)/2^0),2)*1+MOD(INT(MOD(INT(((4294967295-D9))/1),256)/2^1),2)*MOD(INT(MOD(INT((F9)/1),256)/2^1),2)*2+MOD(INT(MOD(INT(((4294967295-D9))/1),256)/2^2),2)*MOD(INT(MOD(INT((F9)/1),256)/2^2),2)*4+MOD(INT(MOD(INT(((4294967295-D9))/1),256)/2^3),2)*MOD(INT(MOD(INT((F9)/1),256)/2^3),2)*8+MOD(INT(MOD(INT(((4294967295-D9))/1),256)/2^4),2)*MOD(INT(MOD(INT((F9)/1),256)/2^4),2)*16+MOD(INT(MOD(INT(((4294967295-D9))/1),256)/2^5),2)*MOD(INT(MOD(INT((F9)/1),256)/2^5),2)*32+MOD(INT(MOD(INT(((4294967295-D9))/1),256)/2^6),2)*MOD(INT(MOD(INT((F9)/1),256)/2^6),2)*64+MOD(INT(MOD(INT(((4294967295-D9))/1),256)/2^7),2)*MOD(INT(MOD(INT((F9)/1),256)/2^7),2)*128)*1+(MOD(INT(MOD(INT(((4294967295-D9))/256),256)/2^0),2)*MOD(INT(MOD(INT((F9)/256),256)/2^0),2)*1+MOD(INT(MOD(INT(((4294967295-D9))/256),256)/2^1),2)*MOD(INT(MOD(INT((F9)/256),256)/2^1),2)*2+MOD(INT(MOD(INT(((4294967295-D9))/256),256)/2^2),2)*MOD(INT(MOD(INT((F9)/256),256)/2^2),2)*4+MOD(INT(MOD(INT(((4294967295-D9))/256),256)/2^3),2)*MOD(INT(MOD(INT((F9)/256),256)/2^3),2)*8+MOD(INT(MOD(INT(((4294967295-D9))/256),256)/2^4),2)*MOD(INT(MOD(INT((F9)/256),256)/2^4),2)*16+MOD(INT(MOD(INT(((4294967295-D9))/256),256)/2^5),2)*MOD(INT(MOD(INT((F9)/256),256)/2^5),2)*32+MOD(INT(MOD(INT(((4294967295-D9))/256),256)/2^6),2)*MOD(INT(MOD(INT((F9)/256),256)/2^6),2)*64+MOD(INT(MOD(INT(((4294967295-D9))/256),256)/2^7),2)*MOD(INT(MOD(INT((F9)/256),256)/2^7),2)*128)*256+(MOD(INT(MOD(INT(((4294967295-D9))/65536),256)/2^0),2)*MOD(INT(MOD(INT((F9)/65536),256)/2^0),2)*1+MOD(INT(MOD(INT(((4294967295-D9))/65536),256)/2^1),2)*MOD(INT(MOD(INT((F9)/65536),256)/2^1),2)*2+MOD(INT(MOD(INT(((4294967295-D9))/65536),256)/2^2),2)*MOD(INT(MOD(INT((F9)/65536),256)/2^2),2)*4+MOD(INT(MOD(INT(((4294967295-D9))/65536),256)/2^3),2)*MOD(INT(MOD(INT((F9)/65536),256)/2^3),2)*8+MOD(INT(MOD(INT(((4294967295-D9))/65536),256)/2^4),2)*MOD(INT(MOD(INT((F9)/65536),256)/2^4),2)*16+MOD(INT(MOD(INT(((4294967295-D9))/65536),256)/2^5),2)*MOD(INT(MOD(INT((F9)/65536),256)/2^5),2)*32+MOD(INT(MOD(INT(((4294967295-D9))/65536),256)/2^6),2)*MOD(INT(MOD(INT((F9)/65536),256)/2^6),2)*64+MOD(INT(MOD(INT(((4294967295-D9))/65536),256)/2^7),2)*MOD(INT(MOD(INT((F9)/65536),256)/2^7),2)*128)*65536+(MOD(INT(MOD(INT(((4294967295-D9))/16777216),256)/2^0),2)*MOD(INT(MOD(INT((F9)/16777216),256)/2^0),2)*1+MOD(INT(MOD(INT(((4294967295-D9))/16777216),256)/2^1),2)*MOD(INT(MOD(INT((F9)/16777216),256)/2^1),2)*2+MOD(INT(MOD(INT(((4294967295-D9))/16777216),256)/2^2),2)*MOD(INT(MOD(INT((F9)/16777216),256)/2^2),2)*4+MOD(INT(MOD(INT(((4294967295-D9))/16777216),256)/2^3),2)*MOD(INT(MOD(INT((F9)/16777216),256)/2^3),2)*8+MOD(INT(MOD(INT(((4294967295-D9))/16777216),256)/2^4),2)*MOD(INT(MOD(INT((F9)/16777216),256)/2^4),2)*16+MOD(INT(MOD(INT(((4294967295-D9))/16777216),256)/2^5),2)*MOD(INT(MOD(INT((F9)/16777216),256)/2^5),2)*32+MOD(INT(MOD(INT(((4294967295-D9))/16777216),256)/2^6),2)*MOD(INT(MOD(INT((F9)/16777216),256)/2^6),2)*64+MOD(INT(MOD(INT(((4294967295-D9))/16777216),256)/2^7),2)*MOD(INT(MOD(INT((F9)/16777216),256)/2^7),2)*128)*16777216)</f>
        <v>5944</v>
      </c>
      <c r="I10" s="37" t="s">
        <v>138</v>
      </c>
      <c r="J10" s="35" t="n">
        <f aca="false">MOD(G10+H10,4294967296)</f>
        <v>1611642</v>
      </c>
      <c r="K10" s="36" t="n">
        <f aca="false">(0)+(0)*256+(0)*65536+(0)*16777216</f>
        <v>0</v>
      </c>
      <c r="L10" s="36" t="n">
        <f aca="false">'📦 MD5 Constants'!C8</f>
        <v>4118548399</v>
      </c>
      <c r="M10" s="36" t="n">
        <f aca="false">'📦 MD5 Constants'!H8</f>
        <v>7</v>
      </c>
      <c r="N10" s="36" t="n">
        <f aca="false">MOD(C9+J10+K10+'📦 MD5 Constants'!C8,4294967296)</f>
        <v>3504816723</v>
      </c>
      <c r="O10" s="36" t="n">
        <f aca="false">MOD(MOD(N10,2^25)*2^7+INT(N10/2^25),4294967296)</f>
        <v>1939941864</v>
      </c>
      <c r="P10" s="35" t="n">
        <f aca="false">D10</f>
        <v>262009391</v>
      </c>
      <c r="Q10" s="34" t="s">
        <v>143</v>
      </c>
    </row>
    <row r="11" customFormat="false" ht="13.5" hidden="false" customHeight="true" outlineLevel="0" collapsed="false">
      <c r="B11" s="32" t="n">
        <v>6</v>
      </c>
      <c r="C11" s="35" t="n">
        <f aca="false">F10</f>
        <v>605655266</v>
      </c>
      <c r="D11" s="35" t="n">
        <f aca="false">MOD(D10+O11,4294967296)</f>
        <v>2575600242</v>
      </c>
      <c r="E11" s="35" t="n">
        <f aca="false">D10</f>
        <v>262009391</v>
      </c>
      <c r="F11" s="35" t="n">
        <f aca="false">E10</f>
        <v>2617034823</v>
      </c>
      <c r="G11" s="36" t="n">
        <f aca="false">((MOD(INT(MOD(INT((D10)/1),256)/2^0),2)*MOD(INT(MOD(INT((E10)/1),256)/2^0),2)*1+MOD(INT(MOD(INT((D10)/1),256)/2^1),2)*MOD(INT(MOD(INT((E10)/1),256)/2^1),2)*2+MOD(INT(MOD(INT((D10)/1),256)/2^2),2)*MOD(INT(MOD(INT((E10)/1),256)/2^2),2)*4+MOD(INT(MOD(INT((D10)/1),256)/2^3),2)*MOD(INT(MOD(INT((E10)/1),256)/2^3),2)*8+MOD(INT(MOD(INT((D10)/1),256)/2^4),2)*MOD(INT(MOD(INT((E10)/1),256)/2^4),2)*16+MOD(INT(MOD(INT((D10)/1),256)/2^5),2)*MOD(INT(MOD(INT((E10)/1),256)/2^5),2)*32+MOD(INT(MOD(INT((D10)/1),256)/2^6),2)*MOD(INT(MOD(INT((E10)/1),256)/2^6),2)*64+MOD(INT(MOD(INT((D10)/1),256)/2^7),2)*MOD(INT(MOD(INT((E10)/1),256)/2^7),2)*128)*1+(MOD(INT(MOD(INT((D10)/256),256)/2^0),2)*MOD(INT(MOD(INT((E10)/256),256)/2^0),2)*1+MOD(INT(MOD(INT((D10)/256),256)/2^1),2)*MOD(INT(MOD(INT((E10)/256),256)/2^1),2)*2+MOD(INT(MOD(INT((D10)/256),256)/2^2),2)*MOD(INT(MOD(INT((E10)/256),256)/2^2),2)*4+MOD(INT(MOD(INT((D10)/256),256)/2^3),2)*MOD(INT(MOD(INT((E10)/256),256)/2^3),2)*8+MOD(INT(MOD(INT((D10)/256),256)/2^4),2)*MOD(INT(MOD(INT((E10)/256),256)/2^4),2)*16+MOD(INT(MOD(INT((D10)/256),256)/2^5),2)*MOD(INT(MOD(INT((E10)/256),256)/2^5),2)*32+MOD(INT(MOD(INT((D10)/256),256)/2^6),2)*MOD(INT(MOD(INT((E10)/256),256)/2^6),2)*64+MOD(INT(MOD(INT((D10)/256),256)/2^7),2)*MOD(INT(MOD(INT((E10)/256),256)/2^7),2)*128)*256+(MOD(INT(MOD(INT((D10)/65536),256)/2^0),2)*MOD(INT(MOD(INT((E10)/65536),256)/2^0),2)*1+MOD(INT(MOD(INT((D10)/65536),256)/2^1),2)*MOD(INT(MOD(INT((E10)/65536),256)/2^1),2)*2+MOD(INT(MOD(INT((D10)/65536),256)/2^2),2)*MOD(INT(MOD(INT((E10)/65536),256)/2^2),2)*4+MOD(INT(MOD(INT((D10)/65536),256)/2^3),2)*MOD(INT(MOD(INT((E10)/65536),256)/2^3),2)*8+MOD(INT(MOD(INT((D10)/65536),256)/2^4),2)*MOD(INT(MOD(INT((E10)/65536),256)/2^4),2)*16+MOD(INT(MOD(INT((D10)/65536),256)/2^5),2)*MOD(INT(MOD(INT((E10)/65536),256)/2^5),2)*32+MOD(INT(MOD(INT((D10)/65536),256)/2^6),2)*MOD(INT(MOD(INT((E10)/65536),256)/2^6),2)*64+MOD(INT(MOD(INT((D10)/65536),256)/2^7),2)*MOD(INT(MOD(INT((E10)/65536),256)/2^7),2)*128)*65536+(MOD(INT(MOD(INT((D10)/16777216),256)/2^0),2)*MOD(INT(MOD(INT((E10)/16777216),256)/2^0),2)*1+MOD(INT(MOD(INT((D10)/16777216),256)/2^1),2)*MOD(INT(MOD(INT((E10)/16777216),256)/2^1),2)*2+MOD(INT(MOD(INT((D10)/16777216),256)/2^2),2)*MOD(INT(MOD(INT((E10)/16777216),256)/2^2),2)*4+MOD(INT(MOD(INT((D10)/16777216),256)/2^3),2)*MOD(INT(MOD(INT((E10)/16777216),256)/2^3),2)*8+MOD(INT(MOD(INT((D10)/16777216),256)/2^4),2)*MOD(INT(MOD(INT((E10)/16777216),256)/2^4),2)*16+MOD(INT(MOD(INT((D10)/16777216),256)/2^5),2)*MOD(INT(MOD(INT((E10)/16777216),256)/2^5),2)*32+MOD(INT(MOD(INT((D10)/16777216),256)/2^6),2)*MOD(INT(MOD(INT((E10)/16777216),256)/2^6),2)*64+MOD(INT(MOD(INT((D10)/16777216),256)/2^7),2)*MOD(INT(MOD(INT((E10)/16777216),256)/2^7),2)*128)*16777216)</f>
        <v>194822151</v>
      </c>
      <c r="H11" s="36" t="n">
        <f aca="false">((MOD(INT(MOD(INT(((4294967295-D10))/1),256)/2^0),2)*MOD(INT(MOD(INT((F10)/1),256)/2^0),2)*1+MOD(INT(MOD(INT(((4294967295-D10))/1),256)/2^1),2)*MOD(INT(MOD(INT((F10)/1),256)/2^1),2)*2+MOD(INT(MOD(INT(((4294967295-D10))/1),256)/2^2),2)*MOD(INT(MOD(INT((F10)/1),256)/2^2),2)*4+MOD(INT(MOD(INT(((4294967295-D10))/1),256)/2^3),2)*MOD(INT(MOD(INT((F10)/1),256)/2^3),2)*8+MOD(INT(MOD(INT(((4294967295-D10))/1),256)/2^4),2)*MOD(INT(MOD(INT((F10)/1),256)/2^4),2)*16+MOD(INT(MOD(INT(((4294967295-D10))/1),256)/2^5),2)*MOD(INT(MOD(INT((F10)/1),256)/2^5),2)*32+MOD(INT(MOD(INT(((4294967295-D10))/1),256)/2^6),2)*MOD(INT(MOD(INT((F10)/1),256)/2^6),2)*64+MOD(INT(MOD(INT(((4294967295-D10))/1),256)/2^7),2)*MOD(INT(MOD(INT((F10)/1),256)/2^7),2)*128)*1+(MOD(INT(MOD(INT(((4294967295-D10))/256),256)/2^0),2)*MOD(INT(MOD(INT((F10)/256),256)/2^0),2)*1+MOD(INT(MOD(INT(((4294967295-D10))/256),256)/2^1),2)*MOD(INT(MOD(INT((F10)/256),256)/2^1),2)*2+MOD(INT(MOD(INT(((4294967295-D10))/256),256)/2^2),2)*MOD(INT(MOD(INT((F10)/256),256)/2^2),2)*4+MOD(INT(MOD(INT(((4294967295-D10))/256),256)/2^3),2)*MOD(INT(MOD(INT((F10)/256),256)/2^3),2)*8+MOD(INT(MOD(INT(((4294967295-D10))/256),256)/2^4),2)*MOD(INT(MOD(INT((F10)/256),256)/2^4),2)*16+MOD(INT(MOD(INT(((4294967295-D10))/256),256)/2^5),2)*MOD(INT(MOD(INT((F10)/256),256)/2^5),2)*32+MOD(INT(MOD(INT(((4294967295-D10))/256),256)/2^6),2)*MOD(INT(MOD(INT((F10)/256),256)/2^6),2)*64+MOD(INT(MOD(INT(((4294967295-D10))/256),256)/2^7),2)*MOD(INT(MOD(INT((F10)/256),256)/2^7),2)*128)*256+(MOD(INT(MOD(INT(((4294967295-D10))/65536),256)/2^0),2)*MOD(INT(MOD(INT((F10)/65536),256)/2^0),2)*1+MOD(INT(MOD(INT(((4294967295-D10))/65536),256)/2^1),2)*MOD(INT(MOD(INT((F10)/65536),256)/2^1),2)*2+MOD(INT(MOD(INT(((4294967295-D10))/65536),256)/2^2),2)*MOD(INT(MOD(INT((F10)/65536),256)/2^2),2)*4+MOD(INT(MOD(INT(((4294967295-D10))/65536),256)/2^3),2)*MOD(INT(MOD(INT((F10)/65536),256)/2^3),2)*8+MOD(INT(MOD(INT(((4294967295-D10))/65536),256)/2^4),2)*MOD(INT(MOD(INT((F10)/65536),256)/2^4),2)*16+MOD(INT(MOD(INT(((4294967295-D10))/65536),256)/2^5),2)*MOD(INT(MOD(INT((F10)/65536),256)/2^5),2)*32+MOD(INT(MOD(INT(((4294967295-D10))/65536),256)/2^6),2)*MOD(INT(MOD(INT((F10)/65536),256)/2^6),2)*64+MOD(INT(MOD(INT(((4294967295-D10))/65536),256)/2^7),2)*MOD(INT(MOD(INT((F10)/65536),256)/2^7),2)*128)*65536+(MOD(INT(MOD(INT(((4294967295-D10))/16777216),256)/2^0),2)*MOD(INT(MOD(INT((F10)/16777216),256)/2^0),2)*1+MOD(INT(MOD(INT(((4294967295-D10))/16777216),256)/2^1),2)*MOD(INT(MOD(INT((F10)/16777216),256)/2^1),2)*2+MOD(INT(MOD(INT(((4294967295-D10))/16777216),256)/2^2),2)*MOD(INT(MOD(INT((F10)/16777216),256)/2^2),2)*4+MOD(INT(MOD(INT(((4294967295-D10))/16777216),256)/2^3),2)*MOD(INT(MOD(INT((F10)/16777216),256)/2^3),2)*8+MOD(INT(MOD(INT(((4294967295-D10))/16777216),256)/2^4),2)*MOD(INT(MOD(INT((F10)/16777216),256)/2^4),2)*16+MOD(INT(MOD(INT(((4294967295-D10))/16777216),256)/2^5),2)*MOD(INT(MOD(INT((F10)/16777216),256)/2^5),2)*32+MOD(INT(MOD(INT(((4294967295-D10))/16777216),256)/2^6),2)*MOD(INT(MOD(INT((F10)/16777216),256)/2^6),2)*64+MOD(INT(MOD(INT(((4294967295-D10))/16777216),256)/2^7),2)*MOD(INT(MOD(INT((F10)/16777216),256)/2^7),2)*128)*16777216)</f>
        <v>536871104</v>
      </c>
      <c r="I11" s="37" t="s">
        <v>138</v>
      </c>
      <c r="J11" s="35" t="n">
        <f aca="false">MOD(G11+H11,4294967296)</f>
        <v>731693255</v>
      </c>
      <c r="K11" s="36" t="n">
        <f aca="false">(0)+(0)*256+(0)*65536+(0)*16777216</f>
        <v>0</v>
      </c>
      <c r="L11" s="36" t="n">
        <f aca="false">'📦 MD5 Constants'!C9</f>
        <v>1200080426</v>
      </c>
      <c r="M11" s="36" t="n">
        <f aca="false">'📦 MD5 Constants'!H9</f>
        <v>12</v>
      </c>
      <c r="N11" s="36" t="n">
        <f aca="false">MOD(C10+J11+K11+'📦 MD5 Constants'!C9,4294967296)</f>
        <v>2218303081</v>
      </c>
      <c r="O11" s="36" t="n">
        <f aca="false">MOD(MOD(N11,2^20)*2^12+INT(N11/2^20),4294967296)</f>
        <v>2313590851</v>
      </c>
      <c r="P11" s="35" t="n">
        <f aca="false">D11</f>
        <v>2575600242</v>
      </c>
      <c r="Q11" s="34" t="s">
        <v>144</v>
      </c>
    </row>
    <row r="12" customFormat="false" ht="13.5" hidden="false" customHeight="true" outlineLevel="0" collapsed="false">
      <c r="B12" s="32" t="n">
        <v>7</v>
      </c>
      <c r="C12" s="35" t="n">
        <f aca="false">F11</f>
        <v>2617034823</v>
      </c>
      <c r="D12" s="35" t="n">
        <f aca="false">MOD(D11+O12,4294967296)</f>
        <v>3418241791</v>
      </c>
      <c r="E12" s="35" t="n">
        <f aca="false">D11</f>
        <v>2575600242</v>
      </c>
      <c r="F12" s="35" t="n">
        <f aca="false">E11</f>
        <v>262009391</v>
      </c>
      <c r="G12" s="36" t="n">
        <f aca="false">((MOD(INT(MOD(INT((D11)/1),256)/2^0),2)*MOD(INT(MOD(INT((E11)/1),256)/2^0),2)*1+MOD(INT(MOD(INT((D11)/1),256)/2^1),2)*MOD(INT(MOD(INT((E11)/1),256)/2^1),2)*2+MOD(INT(MOD(INT((D11)/1),256)/2^2),2)*MOD(INT(MOD(INT((E11)/1),256)/2^2),2)*4+MOD(INT(MOD(INT((D11)/1),256)/2^3),2)*MOD(INT(MOD(INT((E11)/1),256)/2^3),2)*8+MOD(INT(MOD(INT((D11)/1),256)/2^4),2)*MOD(INT(MOD(INT((E11)/1),256)/2^4),2)*16+MOD(INT(MOD(INT((D11)/1),256)/2^5),2)*MOD(INT(MOD(INT((E11)/1),256)/2^5),2)*32+MOD(INT(MOD(INT((D11)/1),256)/2^6),2)*MOD(INT(MOD(INT((E11)/1),256)/2^6),2)*64+MOD(INT(MOD(INT((D11)/1),256)/2^7),2)*MOD(INT(MOD(INT((E11)/1),256)/2^7),2)*128)*1+(MOD(INT(MOD(INT((D11)/256),256)/2^0),2)*MOD(INT(MOD(INT((E11)/256),256)/2^0),2)*1+MOD(INT(MOD(INT((D11)/256),256)/2^1),2)*MOD(INT(MOD(INT((E11)/256),256)/2^1),2)*2+MOD(INT(MOD(INT((D11)/256),256)/2^2),2)*MOD(INT(MOD(INT((E11)/256),256)/2^2),2)*4+MOD(INT(MOD(INT((D11)/256),256)/2^3),2)*MOD(INT(MOD(INT((E11)/256),256)/2^3),2)*8+MOD(INT(MOD(INT((D11)/256),256)/2^4),2)*MOD(INT(MOD(INT((E11)/256),256)/2^4),2)*16+MOD(INT(MOD(INT((D11)/256),256)/2^5),2)*MOD(INT(MOD(INT((E11)/256),256)/2^5),2)*32+MOD(INT(MOD(INT((D11)/256),256)/2^6),2)*MOD(INT(MOD(INT((E11)/256),256)/2^6),2)*64+MOD(INT(MOD(INT((D11)/256),256)/2^7),2)*MOD(INT(MOD(INT((E11)/256),256)/2^7),2)*128)*256+(MOD(INT(MOD(INT((D11)/65536),256)/2^0),2)*MOD(INT(MOD(INT((E11)/65536),256)/2^0),2)*1+MOD(INT(MOD(INT((D11)/65536),256)/2^1),2)*MOD(INT(MOD(INT((E11)/65536),256)/2^1),2)*2+MOD(INT(MOD(INT((D11)/65536),256)/2^2),2)*MOD(INT(MOD(INT((E11)/65536),256)/2^2),2)*4+MOD(INT(MOD(INT((D11)/65536),256)/2^3),2)*MOD(INT(MOD(INT((E11)/65536),256)/2^3),2)*8+MOD(INT(MOD(INT((D11)/65536),256)/2^4),2)*MOD(INT(MOD(INT((E11)/65536),256)/2^4),2)*16+MOD(INT(MOD(INT((D11)/65536),256)/2^5),2)*MOD(INT(MOD(INT((E11)/65536),256)/2^5),2)*32+MOD(INT(MOD(INT((D11)/65536),256)/2^6),2)*MOD(INT(MOD(INT((E11)/65536),256)/2^6),2)*64+MOD(INT(MOD(INT((D11)/65536),256)/2^7),2)*MOD(INT(MOD(INT((E11)/65536),256)/2^7),2)*128)*65536+(MOD(INT(MOD(INT((D11)/16777216),256)/2^0),2)*MOD(INT(MOD(INT((E11)/16777216),256)/2^0),2)*1+MOD(INT(MOD(INT((D11)/16777216),256)/2^1),2)*MOD(INT(MOD(INT((E11)/16777216),256)/2^1),2)*2+MOD(INT(MOD(INT((D11)/16777216),256)/2^2),2)*MOD(INT(MOD(INT((E11)/16777216),256)/2^2),2)*4+MOD(INT(MOD(INT((D11)/16777216),256)/2^3),2)*MOD(INT(MOD(INT((E11)/16777216),256)/2^3),2)*8+MOD(INT(MOD(INT((D11)/16777216),256)/2^4),2)*MOD(INT(MOD(INT((E11)/16777216),256)/2^4),2)*16+MOD(INT(MOD(INT((D11)/16777216),256)/2^5),2)*MOD(INT(MOD(INT((E11)/16777216),256)/2^5),2)*32+MOD(INT(MOD(INT((D11)/16777216),256)/2^6),2)*MOD(INT(MOD(INT((E11)/16777216),256)/2^6),2)*64+MOD(INT(MOD(INT((D11)/16777216),256)/2^7),2)*MOD(INT(MOD(INT((E11)/16777216),256)/2^7),2)*128)*16777216)</f>
        <v>159679010</v>
      </c>
      <c r="H12" s="36" t="n">
        <f aca="false">((MOD(INT(MOD(INT(((4294967295-D11))/1),256)/2^0),2)*MOD(INT(MOD(INT((F11)/1),256)/2^0),2)*1+MOD(INT(MOD(INT(((4294967295-D11))/1),256)/2^1),2)*MOD(INT(MOD(INT((F11)/1),256)/2^1),2)*2+MOD(INT(MOD(INT(((4294967295-D11))/1),256)/2^2),2)*MOD(INT(MOD(INT((F11)/1),256)/2^2),2)*4+MOD(INT(MOD(INT(((4294967295-D11))/1),256)/2^3),2)*MOD(INT(MOD(INT((F11)/1),256)/2^3),2)*8+MOD(INT(MOD(INT(((4294967295-D11))/1),256)/2^4),2)*MOD(INT(MOD(INT((F11)/1),256)/2^4),2)*16+MOD(INT(MOD(INT(((4294967295-D11))/1),256)/2^5),2)*MOD(INT(MOD(INT((F11)/1),256)/2^5),2)*32+MOD(INT(MOD(INT(((4294967295-D11))/1),256)/2^6),2)*MOD(INT(MOD(INT((F11)/1),256)/2^6),2)*64+MOD(INT(MOD(INT(((4294967295-D11))/1),256)/2^7),2)*MOD(INT(MOD(INT((F11)/1),256)/2^7),2)*128)*1+(MOD(INT(MOD(INT(((4294967295-D11))/256),256)/2^0),2)*MOD(INT(MOD(INT((F11)/256),256)/2^0),2)*1+MOD(INT(MOD(INT(((4294967295-D11))/256),256)/2^1),2)*MOD(INT(MOD(INT((F11)/256),256)/2^1),2)*2+MOD(INT(MOD(INT(((4294967295-D11))/256),256)/2^2),2)*MOD(INT(MOD(INT((F11)/256),256)/2^2),2)*4+MOD(INT(MOD(INT(((4294967295-D11))/256),256)/2^3),2)*MOD(INT(MOD(INT((F11)/256),256)/2^3),2)*8+MOD(INT(MOD(INT(((4294967295-D11))/256),256)/2^4),2)*MOD(INT(MOD(INT((F11)/256),256)/2^4),2)*16+MOD(INT(MOD(INT(((4294967295-D11))/256),256)/2^5),2)*MOD(INT(MOD(INT((F11)/256),256)/2^5),2)*32+MOD(INT(MOD(INT(((4294967295-D11))/256),256)/2^6),2)*MOD(INT(MOD(INT((F11)/256),256)/2^6),2)*64+MOD(INT(MOD(INT(((4294967295-D11))/256),256)/2^7),2)*MOD(INT(MOD(INT((F11)/256),256)/2^7),2)*128)*256+(MOD(INT(MOD(INT(((4294967295-D11))/65536),256)/2^0),2)*MOD(INT(MOD(INT((F11)/65536),256)/2^0),2)*1+MOD(INT(MOD(INT(((4294967295-D11))/65536),256)/2^1),2)*MOD(INT(MOD(INT((F11)/65536),256)/2^1),2)*2+MOD(INT(MOD(INT(((4294967295-D11))/65536),256)/2^2),2)*MOD(INT(MOD(INT((F11)/65536),256)/2^2),2)*4+MOD(INT(MOD(INT(((4294967295-D11))/65536),256)/2^3),2)*MOD(INT(MOD(INT((F11)/65536),256)/2^3),2)*8+MOD(INT(MOD(INT(((4294967295-D11))/65536),256)/2^4),2)*MOD(INT(MOD(INT((F11)/65536),256)/2^4),2)*16+MOD(INT(MOD(INT(((4294967295-D11))/65536),256)/2^5),2)*MOD(INT(MOD(INT((F11)/65536),256)/2^5),2)*32+MOD(INT(MOD(INT(((4294967295-D11))/65536),256)/2^6),2)*MOD(INT(MOD(INT((F11)/65536),256)/2^6),2)*64+MOD(INT(MOD(INT(((4294967295-D11))/65536),256)/2^7),2)*MOD(INT(MOD(INT((F11)/65536),256)/2^7),2)*128)*65536+(MOD(INT(MOD(INT(((4294967295-D11))/16777216),256)/2^0),2)*MOD(INT(MOD(INT((F11)/16777216),256)/2^0),2)*1+MOD(INT(MOD(INT(((4294967295-D11))/16777216),256)/2^1),2)*MOD(INT(MOD(INT((F11)/16777216),256)/2^1),2)*2+MOD(INT(MOD(INT(((4294967295-D11))/16777216),256)/2^2),2)*MOD(INT(MOD(INT((F11)/16777216),256)/2^2),2)*4+MOD(INT(MOD(INT(((4294967295-D11))/16777216),256)/2^3),2)*MOD(INT(MOD(INT((F11)/16777216),256)/2^3),2)*8+MOD(INT(MOD(INT(((4294967295-D11))/16777216),256)/2^4),2)*MOD(INT(MOD(INT((F11)/16777216),256)/2^4),2)*16+MOD(INT(MOD(INT(((4294967295-D11))/16777216),256)/2^5),2)*MOD(INT(MOD(INT((F11)/16777216),256)/2^5),2)*32+MOD(INT(MOD(INT(((4294967295-D11))/16777216),256)/2^6),2)*MOD(INT(MOD(INT((F11)/16777216),256)/2^6),2)*64+MOD(INT(MOD(INT(((4294967295-D11))/16777216),256)/2^7),2)*MOD(INT(MOD(INT((F11)/16777216),256)/2^7),2)*128)*16777216)</f>
        <v>41435141</v>
      </c>
      <c r="I12" s="37" t="s">
        <v>138</v>
      </c>
      <c r="J12" s="35" t="n">
        <f aca="false">MOD(G12+H12,4294967296)</f>
        <v>201114151</v>
      </c>
      <c r="K12" s="36" t="n">
        <f aca="false">(0)+(0)*256+(0)*65536+(0)*16777216</f>
        <v>0</v>
      </c>
      <c r="L12" s="36" t="n">
        <f aca="false">'📦 MD5 Constants'!C10</f>
        <v>2821735955</v>
      </c>
      <c r="M12" s="36" t="n">
        <f aca="false">'📦 MD5 Constants'!H10</f>
        <v>17</v>
      </c>
      <c r="N12" s="36" t="n">
        <f aca="false">MOD(C11+J12+K12+'📦 MD5 Constants'!C10,4294967296)</f>
        <v>3628505372</v>
      </c>
      <c r="O12" s="36" t="n">
        <f aca="false">MOD(MOD(N12,2^15)*2^17+INT(N12/2^15),4294967296)</f>
        <v>842641549</v>
      </c>
      <c r="P12" s="35" t="n">
        <f aca="false">D12</f>
        <v>3418241791</v>
      </c>
      <c r="Q12" s="34" t="s">
        <v>145</v>
      </c>
    </row>
    <row r="13" customFormat="false" ht="13.5" hidden="false" customHeight="true" outlineLevel="0" collapsed="false">
      <c r="B13" s="32" t="n">
        <v>8</v>
      </c>
      <c r="C13" s="35" t="n">
        <f aca="false">F12</f>
        <v>262009391</v>
      </c>
      <c r="D13" s="35" t="n">
        <f aca="false">MOD(D12+O13,4294967296)</f>
        <v>3125275976</v>
      </c>
      <c r="E13" s="35" t="n">
        <f aca="false">D12</f>
        <v>3418241791</v>
      </c>
      <c r="F13" s="35" t="n">
        <f aca="false">E12</f>
        <v>2575600242</v>
      </c>
      <c r="G13" s="36" t="n">
        <f aca="false">((MOD(INT(MOD(INT((D12)/1),256)/2^0),2)*MOD(INT(MOD(INT((E12)/1),256)/2^0),2)*1+MOD(INT(MOD(INT((D12)/1),256)/2^1),2)*MOD(INT(MOD(INT((E12)/1),256)/2^1),2)*2+MOD(INT(MOD(INT((D12)/1),256)/2^2),2)*MOD(INT(MOD(INT((E12)/1),256)/2^2),2)*4+MOD(INT(MOD(INT((D12)/1),256)/2^3),2)*MOD(INT(MOD(INT((E12)/1),256)/2^3),2)*8+MOD(INT(MOD(INT((D12)/1),256)/2^4),2)*MOD(INT(MOD(INT((E12)/1),256)/2^4),2)*16+MOD(INT(MOD(INT((D12)/1),256)/2^5),2)*MOD(INT(MOD(INT((E12)/1),256)/2^5),2)*32+MOD(INT(MOD(INT((D12)/1),256)/2^6),2)*MOD(INT(MOD(INT((E12)/1),256)/2^6),2)*64+MOD(INT(MOD(INT((D12)/1),256)/2^7),2)*MOD(INT(MOD(INT((E12)/1),256)/2^7),2)*128)*1+(MOD(INT(MOD(INT((D12)/256),256)/2^0),2)*MOD(INT(MOD(INT((E12)/256),256)/2^0),2)*1+MOD(INT(MOD(INT((D12)/256),256)/2^1),2)*MOD(INT(MOD(INT((E12)/256),256)/2^1),2)*2+MOD(INT(MOD(INT((D12)/256),256)/2^2),2)*MOD(INT(MOD(INT((E12)/256),256)/2^2),2)*4+MOD(INT(MOD(INT((D12)/256),256)/2^3),2)*MOD(INT(MOD(INT((E12)/256),256)/2^3),2)*8+MOD(INT(MOD(INT((D12)/256),256)/2^4),2)*MOD(INT(MOD(INT((E12)/256),256)/2^4),2)*16+MOD(INT(MOD(INT((D12)/256),256)/2^5),2)*MOD(INT(MOD(INT((E12)/256),256)/2^5),2)*32+MOD(INT(MOD(INT((D12)/256),256)/2^6),2)*MOD(INT(MOD(INT((E12)/256),256)/2^6),2)*64+MOD(INT(MOD(INT((D12)/256),256)/2^7),2)*MOD(INT(MOD(INT((E12)/256),256)/2^7),2)*128)*256+(MOD(INT(MOD(INT((D12)/65536),256)/2^0),2)*MOD(INT(MOD(INT((E12)/65536),256)/2^0),2)*1+MOD(INT(MOD(INT((D12)/65536),256)/2^1),2)*MOD(INT(MOD(INT((E12)/65536),256)/2^1),2)*2+MOD(INT(MOD(INT((D12)/65536),256)/2^2),2)*MOD(INT(MOD(INT((E12)/65536),256)/2^2),2)*4+MOD(INT(MOD(INT((D12)/65536),256)/2^3),2)*MOD(INT(MOD(INT((E12)/65536),256)/2^3),2)*8+MOD(INT(MOD(INT((D12)/65536),256)/2^4),2)*MOD(INT(MOD(INT((E12)/65536),256)/2^4),2)*16+MOD(INT(MOD(INT((D12)/65536),256)/2^5),2)*MOD(INT(MOD(INT((E12)/65536),256)/2^5),2)*32+MOD(INT(MOD(INT((D12)/65536),256)/2^6),2)*MOD(INT(MOD(INT((E12)/65536),256)/2^6),2)*64+MOD(INT(MOD(INT((D12)/65536),256)/2^7),2)*MOD(INT(MOD(INT((E12)/65536),256)/2^7),2)*128)*65536+(MOD(INT(MOD(INT((D12)/16777216),256)/2^0),2)*MOD(INT(MOD(INT((E12)/16777216),256)/2^0),2)*1+MOD(INT(MOD(INT((D12)/16777216),256)/2^1),2)*MOD(INT(MOD(INT((E12)/16777216),256)/2^1),2)*2+MOD(INT(MOD(INT((D12)/16777216),256)/2^2),2)*MOD(INT(MOD(INT((E12)/16777216),256)/2^2),2)*4+MOD(INT(MOD(INT((D12)/16777216),256)/2^3),2)*MOD(INT(MOD(INT((E12)/16777216),256)/2^3),2)*8+MOD(INT(MOD(INT((D12)/16777216),256)/2^4),2)*MOD(INT(MOD(INT((E12)/16777216),256)/2^4),2)*16+MOD(INT(MOD(INT((D12)/16777216),256)/2^5),2)*MOD(INT(MOD(INT((E12)/16777216),256)/2^5),2)*32+MOD(INT(MOD(INT((D12)/16777216),256)/2^6),2)*MOD(INT(MOD(INT((E12)/16777216),256)/2^6),2)*64+MOD(INT(MOD(INT((D12)/16777216),256)/2^7),2)*MOD(INT(MOD(INT((E12)/16777216),256)/2^7),2)*128)*16777216)</f>
        <v>2307132018</v>
      </c>
      <c r="H13" s="36" t="n">
        <f aca="false">((MOD(INT(MOD(INT(((4294967295-D12))/1),256)/2^0),2)*MOD(INT(MOD(INT((F12)/1),256)/2^0),2)*1+MOD(INT(MOD(INT(((4294967295-D12))/1),256)/2^1),2)*MOD(INT(MOD(INT((F12)/1),256)/2^1),2)*2+MOD(INT(MOD(INT(((4294967295-D12))/1),256)/2^2),2)*MOD(INT(MOD(INT((F12)/1),256)/2^2),2)*4+MOD(INT(MOD(INT(((4294967295-D12))/1),256)/2^3),2)*MOD(INT(MOD(INT((F12)/1),256)/2^3),2)*8+MOD(INT(MOD(INT(((4294967295-D12))/1),256)/2^4),2)*MOD(INT(MOD(INT((F12)/1),256)/2^4),2)*16+MOD(INT(MOD(INT(((4294967295-D12))/1),256)/2^5),2)*MOD(INT(MOD(INT((F12)/1),256)/2^5),2)*32+MOD(INT(MOD(INT(((4294967295-D12))/1),256)/2^6),2)*MOD(INT(MOD(INT((F12)/1),256)/2^6),2)*64+MOD(INT(MOD(INT(((4294967295-D12))/1),256)/2^7),2)*MOD(INT(MOD(INT((F12)/1),256)/2^7),2)*128)*1+(MOD(INT(MOD(INT(((4294967295-D12))/256),256)/2^0),2)*MOD(INT(MOD(INT((F12)/256),256)/2^0),2)*1+MOD(INT(MOD(INT(((4294967295-D12))/256),256)/2^1),2)*MOD(INT(MOD(INT((F12)/256),256)/2^1),2)*2+MOD(INT(MOD(INT(((4294967295-D12))/256),256)/2^2),2)*MOD(INT(MOD(INT((F12)/256),256)/2^2),2)*4+MOD(INT(MOD(INT(((4294967295-D12))/256),256)/2^3),2)*MOD(INT(MOD(INT((F12)/256),256)/2^3),2)*8+MOD(INT(MOD(INT(((4294967295-D12))/256),256)/2^4),2)*MOD(INT(MOD(INT((F12)/256),256)/2^4),2)*16+MOD(INT(MOD(INT(((4294967295-D12))/256),256)/2^5),2)*MOD(INT(MOD(INT((F12)/256),256)/2^5),2)*32+MOD(INT(MOD(INT(((4294967295-D12))/256),256)/2^6),2)*MOD(INT(MOD(INT((F12)/256),256)/2^6),2)*64+MOD(INT(MOD(INT(((4294967295-D12))/256),256)/2^7),2)*MOD(INT(MOD(INT((F12)/256),256)/2^7),2)*128)*256+(MOD(INT(MOD(INT(((4294967295-D12))/65536),256)/2^0),2)*MOD(INT(MOD(INT((F12)/65536),256)/2^0),2)*1+MOD(INT(MOD(INT(((4294967295-D12))/65536),256)/2^1),2)*MOD(INT(MOD(INT((F12)/65536),256)/2^1),2)*2+MOD(INT(MOD(INT(((4294967295-D12))/65536),256)/2^2),2)*MOD(INT(MOD(INT((F12)/65536),256)/2^2),2)*4+MOD(INT(MOD(INT(((4294967295-D12))/65536),256)/2^3),2)*MOD(INT(MOD(INT((F12)/65536),256)/2^3),2)*8+MOD(INT(MOD(INT(((4294967295-D12))/65536),256)/2^4),2)*MOD(INT(MOD(INT((F12)/65536),256)/2^4),2)*16+MOD(INT(MOD(INT(((4294967295-D12))/65536),256)/2^5),2)*MOD(INT(MOD(INT((F12)/65536),256)/2^5),2)*32+MOD(INT(MOD(INT(((4294967295-D12))/65536),256)/2^6),2)*MOD(INT(MOD(INT((F12)/65536),256)/2^6),2)*64+MOD(INT(MOD(INT(((4294967295-D12))/65536),256)/2^7),2)*MOD(INT(MOD(INT((F12)/65536),256)/2^7),2)*128)*65536+(MOD(INT(MOD(INT(((4294967295-D12))/16777216),256)/2^0),2)*MOD(INT(MOD(INT((F12)/16777216),256)/2^0),2)*1+MOD(INT(MOD(INT(((4294967295-D12))/16777216),256)/2^1),2)*MOD(INT(MOD(INT((F12)/16777216),256)/2^1),2)*2+MOD(INT(MOD(INT(((4294967295-D12))/16777216),256)/2^2),2)*MOD(INT(MOD(INT((F12)/16777216),256)/2^2),2)*4+MOD(INT(MOD(INT(((4294967295-D12))/16777216),256)/2^3),2)*MOD(INT(MOD(INT((F12)/16777216),256)/2^3),2)*8+MOD(INT(MOD(INT(((4294967295-D12))/16777216),256)/2^4),2)*MOD(INT(MOD(INT((F12)/16777216),256)/2^4),2)*16+MOD(INT(MOD(INT(((4294967295-D12))/16777216),256)/2^5),2)*MOD(INT(MOD(INT((F12)/16777216),256)/2^5),2)*32+MOD(INT(MOD(INT(((4294967295-D12))/16777216),256)/2^6),2)*MOD(INT(MOD(INT((F12)/16777216),256)/2^6),2)*64+MOD(INT(MOD(INT(((4294967295-D12))/16777216),256)/2^7),2)*MOD(INT(MOD(INT((F12)/16777216),256)/2^7),2)*128)*16777216)</f>
        <v>67223552</v>
      </c>
      <c r="I13" s="37" t="s">
        <v>138</v>
      </c>
      <c r="J13" s="35" t="n">
        <f aca="false">MOD(G13+H13,4294967296)</f>
        <v>2374355570</v>
      </c>
      <c r="K13" s="36" t="n">
        <f aca="false">(0)+(0)*256+(0)*65536+(0)*16777216</f>
        <v>0</v>
      </c>
      <c r="L13" s="36" t="n">
        <f aca="false">'📦 MD5 Constants'!C11</f>
        <v>4249261313</v>
      </c>
      <c r="M13" s="36" t="n">
        <f aca="false">'📦 MD5 Constants'!H11</f>
        <v>22</v>
      </c>
      <c r="N13" s="36" t="n">
        <f aca="false">MOD(C12+J13+K13+'📦 MD5 Constants'!C11,4294967296)</f>
        <v>650717114</v>
      </c>
      <c r="O13" s="36" t="n">
        <f aca="false">MOD(MOD(N13,2^10)*2^22+INT(N13/2^10),4294967296)</f>
        <v>4002001481</v>
      </c>
      <c r="P13" s="35" t="n">
        <f aca="false">D13</f>
        <v>3125275976</v>
      </c>
      <c r="Q13" s="34" t="s">
        <v>146</v>
      </c>
    </row>
    <row r="14" customFormat="false" ht="13.5" hidden="false" customHeight="true" outlineLevel="0" collapsed="false">
      <c r="B14" s="32" t="n">
        <v>9</v>
      </c>
      <c r="C14" s="35" t="n">
        <f aca="false">F13</f>
        <v>2575600242</v>
      </c>
      <c r="D14" s="35" t="n">
        <f aca="false">MOD(D13+O14,4294967296)</f>
        <v>211987914</v>
      </c>
      <c r="E14" s="35" t="n">
        <f aca="false">D13</f>
        <v>3125275976</v>
      </c>
      <c r="F14" s="35" t="n">
        <f aca="false">E13</f>
        <v>3418241791</v>
      </c>
      <c r="G14" s="36" t="n">
        <f aca="false">((MOD(INT(MOD(INT((D13)/1),256)/2^0),2)*MOD(INT(MOD(INT((E13)/1),256)/2^0),2)*1+MOD(INT(MOD(INT((D13)/1),256)/2^1),2)*MOD(INT(MOD(INT((E13)/1),256)/2^1),2)*2+MOD(INT(MOD(INT((D13)/1),256)/2^2),2)*MOD(INT(MOD(INT((E13)/1),256)/2^2),2)*4+MOD(INT(MOD(INT((D13)/1),256)/2^3),2)*MOD(INT(MOD(INT((E13)/1),256)/2^3),2)*8+MOD(INT(MOD(INT((D13)/1),256)/2^4),2)*MOD(INT(MOD(INT((E13)/1),256)/2^4),2)*16+MOD(INT(MOD(INT((D13)/1),256)/2^5),2)*MOD(INT(MOD(INT((E13)/1),256)/2^5),2)*32+MOD(INT(MOD(INT((D13)/1),256)/2^6),2)*MOD(INT(MOD(INT((E13)/1),256)/2^6),2)*64+MOD(INT(MOD(INT((D13)/1),256)/2^7),2)*MOD(INT(MOD(INT((E13)/1),256)/2^7),2)*128)*1+(MOD(INT(MOD(INT((D13)/256),256)/2^0),2)*MOD(INT(MOD(INT((E13)/256),256)/2^0),2)*1+MOD(INT(MOD(INT((D13)/256),256)/2^1),2)*MOD(INT(MOD(INT((E13)/256),256)/2^1),2)*2+MOD(INT(MOD(INT((D13)/256),256)/2^2),2)*MOD(INT(MOD(INT((E13)/256),256)/2^2),2)*4+MOD(INT(MOD(INT((D13)/256),256)/2^3),2)*MOD(INT(MOD(INT((E13)/256),256)/2^3),2)*8+MOD(INT(MOD(INT((D13)/256),256)/2^4),2)*MOD(INT(MOD(INT((E13)/256),256)/2^4),2)*16+MOD(INT(MOD(INT((D13)/256),256)/2^5),2)*MOD(INT(MOD(INT((E13)/256),256)/2^5),2)*32+MOD(INT(MOD(INT((D13)/256),256)/2^6),2)*MOD(INT(MOD(INT((E13)/256),256)/2^6),2)*64+MOD(INT(MOD(INT((D13)/256),256)/2^7),2)*MOD(INT(MOD(INT((E13)/256),256)/2^7),2)*128)*256+(MOD(INT(MOD(INT((D13)/65536),256)/2^0),2)*MOD(INT(MOD(INT((E13)/65536),256)/2^0),2)*1+MOD(INT(MOD(INT((D13)/65536),256)/2^1),2)*MOD(INT(MOD(INT((E13)/65536),256)/2^1),2)*2+MOD(INT(MOD(INT((D13)/65536),256)/2^2),2)*MOD(INT(MOD(INT((E13)/65536),256)/2^2),2)*4+MOD(INT(MOD(INT((D13)/65536),256)/2^3),2)*MOD(INT(MOD(INT((E13)/65536),256)/2^3),2)*8+MOD(INT(MOD(INT((D13)/65536),256)/2^4),2)*MOD(INT(MOD(INT((E13)/65536),256)/2^4),2)*16+MOD(INT(MOD(INT((D13)/65536),256)/2^5),2)*MOD(INT(MOD(INT((E13)/65536),256)/2^5),2)*32+MOD(INT(MOD(INT((D13)/65536),256)/2^6),2)*MOD(INT(MOD(INT((E13)/65536),256)/2^6),2)*64+MOD(INT(MOD(INT((D13)/65536),256)/2^7),2)*MOD(INT(MOD(INT((E13)/65536),256)/2^7),2)*128)*65536+(MOD(INT(MOD(INT((D13)/16777216),256)/2^0),2)*MOD(INT(MOD(INT((E13)/16777216),256)/2^0),2)*1+MOD(INT(MOD(INT((D13)/16777216),256)/2^1),2)*MOD(INT(MOD(INT((E13)/16777216),256)/2^1),2)*2+MOD(INT(MOD(INT((D13)/16777216),256)/2^2),2)*MOD(INT(MOD(INT((E13)/16777216),256)/2^2),2)*4+MOD(INT(MOD(INT((D13)/16777216),256)/2^3),2)*MOD(INT(MOD(INT((E13)/16777216),256)/2^3),2)*8+MOD(INT(MOD(INT((D13)/16777216),256)/2^4),2)*MOD(INT(MOD(INT((E13)/16777216),256)/2^4),2)*16+MOD(INT(MOD(INT((D13)/16777216),256)/2^5),2)*MOD(INT(MOD(INT((E13)/16777216),256)/2^5),2)*32+MOD(INT(MOD(INT((D13)/16777216),256)/2^6),2)*MOD(INT(MOD(INT((E13)/16777216),256)/2^6),2)*64+MOD(INT(MOD(INT((D13)/16777216),256)/2^7),2)*MOD(INT(MOD(INT((E13)/16777216),256)/2^7),2)*128)*16777216)</f>
        <v>2315659336</v>
      </c>
      <c r="H14" s="36" t="n">
        <f aca="false">((MOD(INT(MOD(INT(((4294967295-D13))/1),256)/2^0),2)*MOD(INT(MOD(INT((F13)/1),256)/2^0),2)*1+MOD(INT(MOD(INT(((4294967295-D13))/1),256)/2^1),2)*MOD(INT(MOD(INT((F13)/1),256)/2^1),2)*2+MOD(INT(MOD(INT(((4294967295-D13))/1),256)/2^2),2)*MOD(INT(MOD(INT((F13)/1),256)/2^2),2)*4+MOD(INT(MOD(INT(((4294967295-D13))/1),256)/2^3),2)*MOD(INT(MOD(INT((F13)/1),256)/2^3),2)*8+MOD(INT(MOD(INT(((4294967295-D13))/1),256)/2^4),2)*MOD(INT(MOD(INT((F13)/1),256)/2^4),2)*16+MOD(INT(MOD(INT(((4294967295-D13))/1),256)/2^5),2)*MOD(INT(MOD(INT((F13)/1),256)/2^5),2)*32+MOD(INT(MOD(INT(((4294967295-D13))/1),256)/2^6),2)*MOD(INT(MOD(INT((F13)/1),256)/2^6),2)*64+MOD(INT(MOD(INT(((4294967295-D13))/1),256)/2^7),2)*MOD(INT(MOD(INT((F13)/1),256)/2^7),2)*128)*1+(MOD(INT(MOD(INT(((4294967295-D13))/256),256)/2^0),2)*MOD(INT(MOD(INT((F13)/256),256)/2^0),2)*1+MOD(INT(MOD(INT(((4294967295-D13))/256),256)/2^1),2)*MOD(INT(MOD(INT((F13)/256),256)/2^1),2)*2+MOD(INT(MOD(INT(((4294967295-D13))/256),256)/2^2),2)*MOD(INT(MOD(INT((F13)/256),256)/2^2),2)*4+MOD(INT(MOD(INT(((4294967295-D13))/256),256)/2^3),2)*MOD(INT(MOD(INT((F13)/256),256)/2^3),2)*8+MOD(INT(MOD(INT(((4294967295-D13))/256),256)/2^4),2)*MOD(INT(MOD(INT((F13)/256),256)/2^4),2)*16+MOD(INT(MOD(INT(((4294967295-D13))/256),256)/2^5),2)*MOD(INT(MOD(INT((F13)/256),256)/2^5),2)*32+MOD(INT(MOD(INT(((4294967295-D13))/256),256)/2^6),2)*MOD(INT(MOD(INT((F13)/256),256)/2^6),2)*64+MOD(INT(MOD(INT(((4294967295-D13))/256),256)/2^7),2)*MOD(INT(MOD(INT((F13)/256),256)/2^7),2)*128)*256+(MOD(INT(MOD(INT(((4294967295-D13))/65536),256)/2^0),2)*MOD(INT(MOD(INT((F13)/65536),256)/2^0),2)*1+MOD(INT(MOD(INT(((4294967295-D13))/65536),256)/2^1),2)*MOD(INT(MOD(INT((F13)/65536),256)/2^1),2)*2+MOD(INT(MOD(INT(((4294967295-D13))/65536),256)/2^2),2)*MOD(INT(MOD(INT((F13)/65536),256)/2^2),2)*4+MOD(INT(MOD(INT(((4294967295-D13))/65536),256)/2^3),2)*MOD(INT(MOD(INT((F13)/65536),256)/2^3),2)*8+MOD(INT(MOD(INT(((4294967295-D13))/65536),256)/2^4),2)*MOD(INT(MOD(INT((F13)/65536),256)/2^4),2)*16+MOD(INT(MOD(INT(((4294967295-D13))/65536),256)/2^5),2)*MOD(INT(MOD(INT((F13)/65536),256)/2^5),2)*32+MOD(INT(MOD(INT(((4294967295-D13))/65536),256)/2^6),2)*MOD(INT(MOD(INT((F13)/65536),256)/2^6),2)*64+MOD(INT(MOD(INT(((4294967295-D13))/65536),256)/2^7),2)*MOD(INT(MOD(INT((F13)/65536),256)/2^7),2)*128)*65536+(MOD(INT(MOD(INT(((4294967295-D13))/16777216),256)/2^0),2)*MOD(INT(MOD(INT((F13)/16777216),256)/2^0),2)*1+MOD(INT(MOD(INT(((4294967295-D13))/16777216),256)/2^1),2)*MOD(INT(MOD(INT((F13)/16777216),256)/2^1),2)*2+MOD(INT(MOD(INT(((4294967295-D13))/16777216),256)/2^2),2)*MOD(INT(MOD(INT((F13)/16777216),256)/2^2),2)*4+MOD(INT(MOD(INT(((4294967295-D13))/16777216),256)/2^3),2)*MOD(INT(MOD(INT((F13)/16777216),256)/2^3),2)*8+MOD(INT(MOD(INT(((4294967295-D13))/16777216),256)/2^4),2)*MOD(INT(MOD(INT((F13)/16777216),256)/2^4),2)*16+MOD(INT(MOD(INT(((4294967295-D13))/16777216),256)/2^5),2)*MOD(INT(MOD(INT((F13)/16777216),256)/2^5),2)*32+MOD(INT(MOD(INT(((4294967295-D13))/16777216),256)/2^6),2)*MOD(INT(MOD(INT((F13)/16777216),256)/2^6),2)*64+MOD(INT(MOD(INT(((4294967295-D13))/16777216),256)/2^7),2)*MOD(INT(MOD(INT((F13)/16777216),256)/2^7),2)*128)*16777216)</f>
        <v>25166386</v>
      </c>
      <c r="I14" s="37" t="s">
        <v>138</v>
      </c>
      <c r="J14" s="35" t="n">
        <f aca="false">MOD(G14+H14,4294967296)</f>
        <v>2340825722</v>
      </c>
      <c r="K14" s="36" t="n">
        <f aca="false">(0)+(0)*256+(0)*65536+(0)*16777216</f>
        <v>0</v>
      </c>
      <c r="L14" s="36" t="n">
        <f aca="false">'📦 MD5 Constants'!C12</f>
        <v>1770035416</v>
      </c>
      <c r="M14" s="36" t="n">
        <f aca="false">'📦 MD5 Constants'!H12</f>
        <v>7</v>
      </c>
      <c r="N14" s="36" t="n">
        <f aca="false">MOD(C13+J14+K14+'📦 MD5 Constants'!C12,4294967296)</f>
        <v>77903233</v>
      </c>
      <c r="O14" s="36" t="n">
        <f aca="false">MOD(MOD(N14,2^25)*2^7+INT(N14/2^25),4294967296)</f>
        <v>1381679234</v>
      </c>
      <c r="P14" s="35" t="n">
        <f aca="false">D14</f>
        <v>211987914</v>
      </c>
      <c r="Q14" s="34" t="s">
        <v>147</v>
      </c>
    </row>
    <row r="15" customFormat="false" ht="13.5" hidden="false" customHeight="true" outlineLevel="0" collapsed="false">
      <c r="B15" s="32" t="n">
        <v>10</v>
      </c>
      <c r="C15" s="35" t="n">
        <f aca="false">F14</f>
        <v>3418241791</v>
      </c>
      <c r="D15" s="35" t="n">
        <f aca="false">MOD(D14+O15,4294967296)</f>
        <v>2428280008</v>
      </c>
      <c r="E15" s="35" t="n">
        <f aca="false">D14</f>
        <v>211987914</v>
      </c>
      <c r="F15" s="35" t="n">
        <f aca="false">E14</f>
        <v>3125275976</v>
      </c>
      <c r="G15" s="36" t="n">
        <f aca="false">((MOD(INT(MOD(INT((D14)/1),256)/2^0),2)*MOD(INT(MOD(INT((E14)/1),256)/2^0),2)*1+MOD(INT(MOD(INT((D14)/1),256)/2^1),2)*MOD(INT(MOD(INT((E14)/1),256)/2^1),2)*2+MOD(INT(MOD(INT((D14)/1),256)/2^2),2)*MOD(INT(MOD(INT((E14)/1),256)/2^2),2)*4+MOD(INT(MOD(INT((D14)/1),256)/2^3),2)*MOD(INT(MOD(INT((E14)/1),256)/2^3),2)*8+MOD(INT(MOD(INT((D14)/1),256)/2^4),2)*MOD(INT(MOD(INT((E14)/1),256)/2^4),2)*16+MOD(INT(MOD(INT((D14)/1),256)/2^5),2)*MOD(INT(MOD(INT((E14)/1),256)/2^5),2)*32+MOD(INT(MOD(INT((D14)/1),256)/2^6),2)*MOD(INT(MOD(INT((E14)/1),256)/2^6),2)*64+MOD(INT(MOD(INT((D14)/1),256)/2^7),2)*MOD(INT(MOD(INT((E14)/1),256)/2^7),2)*128)*1+(MOD(INT(MOD(INT((D14)/256),256)/2^0),2)*MOD(INT(MOD(INT((E14)/256),256)/2^0),2)*1+MOD(INT(MOD(INT((D14)/256),256)/2^1),2)*MOD(INT(MOD(INT((E14)/256),256)/2^1),2)*2+MOD(INT(MOD(INT((D14)/256),256)/2^2),2)*MOD(INT(MOD(INT((E14)/256),256)/2^2),2)*4+MOD(INT(MOD(INT((D14)/256),256)/2^3),2)*MOD(INT(MOD(INT((E14)/256),256)/2^3),2)*8+MOD(INT(MOD(INT((D14)/256),256)/2^4),2)*MOD(INT(MOD(INT((E14)/256),256)/2^4),2)*16+MOD(INT(MOD(INT((D14)/256),256)/2^5),2)*MOD(INT(MOD(INT((E14)/256),256)/2^5),2)*32+MOD(INT(MOD(INT((D14)/256),256)/2^6),2)*MOD(INT(MOD(INT((E14)/256),256)/2^6),2)*64+MOD(INT(MOD(INT((D14)/256),256)/2^7),2)*MOD(INT(MOD(INT((E14)/256),256)/2^7),2)*128)*256+(MOD(INT(MOD(INT((D14)/65536),256)/2^0),2)*MOD(INT(MOD(INT((E14)/65536),256)/2^0),2)*1+MOD(INT(MOD(INT((D14)/65536),256)/2^1),2)*MOD(INT(MOD(INT((E14)/65536),256)/2^1),2)*2+MOD(INT(MOD(INT((D14)/65536),256)/2^2),2)*MOD(INT(MOD(INT((E14)/65536),256)/2^2),2)*4+MOD(INT(MOD(INT((D14)/65536),256)/2^3),2)*MOD(INT(MOD(INT((E14)/65536),256)/2^3),2)*8+MOD(INT(MOD(INT((D14)/65536),256)/2^4),2)*MOD(INT(MOD(INT((E14)/65536),256)/2^4),2)*16+MOD(INT(MOD(INT((D14)/65536),256)/2^5),2)*MOD(INT(MOD(INT((E14)/65536),256)/2^5),2)*32+MOD(INT(MOD(INT((D14)/65536),256)/2^6),2)*MOD(INT(MOD(INT((E14)/65536),256)/2^6),2)*64+MOD(INT(MOD(INT((D14)/65536),256)/2^7),2)*MOD(INT(MOD(INT((E14)/65536),256)/2^7),2)*128)*65536+(MOD(INT(MOD(INT((D14)/16777216),256)/2^0),2)*MOD(INT(MOD(INT((E14)/16777216),256)/2^0),2)*1+MOD(INT(MOD(INT((D14)/16777216),256)/2^1),2)*MOD(INT(MOD(INT((E14)/16777216),256)/2^1),2)*2+MOD(INT(MOD(INT((D14)/16777216),256)/2^2),2)*MOD(INT(MOD(INT((E14)/16777216),256)/2^2),2)*4+MOD(INT(MOD(INT((D14)/16777216),256)/2^3),2)*MOD(INT(MOD(INT((E14)/16777216),256)/2^3),2)*8+MOD(INT(MOD(INT((D14)/16777216),256)/2^4),2)*MOD(INT(MOD(INT((E14)/16777216),256)/2^4),2)*16+MOD(INT(MOD(INT((D14)/16777216),256)/2^5),2)*MOD(INT(MOD(INT((E14)/16777216),256)/2^5),2)*32+MOD(INT(MOD(INT((D14)/16777216),256)/2^6),2)*MOD(INT(MOD(INT((E14)/16777216),256)/2^6),2)*64+MOD(INT(MOD(INT((D14)/16777216),256)/2^7),2)*MOD(INT(MOD(INT((E14)/16777216),256)/2^7),2)*128)*16777216)</f>
        <v>134393160</v>
      </c>
      <c r="H15" s="36" t="n">
        <f aca="false">((MOD(INT(MOD(INT(((4294967295-D14))/1),256)/2^0),2)*MOD(INT(MOD(INT((F14)/1),256)/2^0),2)*1+MOD(INT(MOD(INT(((4294967295-D14))/1),256)/2^1),2)*MOD(INT(MOD(INT((F14)/1),256)/2^1),2)*2+MOD(INT(MOD(INT(((4294967295-D14))/1),256)/2^2),2)*MOD(INT(MOD(INT((F14)/1),256)/2^2),2)*4+MOD(INT(MOD(INT(((4294967295-D14))/1),256)/2^3),2)*MOD(INT(MOD(INT((F14)/1),256)/2^3),2)*8+MOD(INT(MOD(INT(((4294967295-D14))/1),256)/2^4),2)*MOD(INT(MOD(INT((F14)/1),256)/2^4),2)*16+MOD(INT(MOD(INT(((4294967295-D14))/1),256)/2^5),2)*MOD(INT(MOD(INT((F14)/1),256)/2^5),2)*32+MOD(INT(MOD(INT(((4294967295-D14))/1),256)/2^6),2)*MOD(INT(MOD(INT((F14)/1),256)/2^6),2)*64+MOD(INT(MOD(INT(((4294967295-D14))/1),256)/2^7),2)*MOD(INT(MOD(INT((F14)/1),256)/2^7),2)*128)*1+(MOD(INT(MOD(INT(((4294967295-D14))/256),256)/2^0),2)*MOD(INT(MOD(INT((F14)/256),256)/2^0),2)*1+MOD(INT(MOD(INT(((4294967295-D14))/256),256)/2^1),2)*MOD(INT(MOD(INT((F14)/256),256)/2^1),2)*2+MOD(INT(MOD(INT(((4294967295-D14))/256),256)/2^2),2)*MOD(INT(MOD(INT((F14)/256),256)/2^2),2)*4+MOD(INT(MOD(INT(((4294967295-D14))/256),256)/2^3),2)*MOD(INT(MOD(INT((F14)/256),256)/2^3),2)*8+MOD(INT(MOD(INT(((4294967295-D14))/256),256)/2^4),2)*MOD(INT(MOD(INT((F14)/256),256)/2^4),2)*16+MOD(INT(MOD(INT(((4294967295-D14))/256),256)/2^5),2)*MOD(INT(MOD(INT((F14)/256),256)/2^5),2)*32+MOD(INT(MOD(INT(((4294967295-D14))/256),256)/2^6),2)*MOD(INT(MOD(INT((F14)/256),256)/2^6),2)*64+MOD(INT(MOD(INT(((4294967295-D14))/256),256)/2^7),2)*MOD(INT(MOD(INT((F14)/256),256)/2^7),2)*128)*256+(MOD(INT(MOD(INT(((4294967295-D14))/65536),256)/2^0),2)*MOD(INT(MOD(INT((F14)/65536),256)/2^0),2)*1+MOD(INT(MOD(INT(((4294967295-D14))/65536),256)/2^1),2)*MOD(INT(MOD(INT((F14)/65536),256)/2^1),2)*2+MOD(INT(MOD(INT(((4294967295-D14))/65536),256)/2^2),2)*MOD(INT(MOD(INT((F14)/65536),256)/2^2),2)*4+MOD(INT(MOD(INT(((4294967295-D14))/65536),256)/2^3),2)*MOD(INT(MOD(INT((F14)/65536),256)/2^3),2)*8+MOD(INT(MOD(INT(((4294967295-D14))/65536),256)/2^4),2)*MOD(INT(MOD(INT((F14)/65536),256)/2^4),2)*16+MOD(INT(MOD(INT(((4294967295-D14))/65536),256)/2^5),2)*MOD(INT(MOD(INT((F14)/65536),256)/2^5),2)*32+MOD(INT(MOD(INT(((4294967295-D14))/65536),256)/2^6),2)*MOD(INT(MOD(INT((F14)/65536),256)/2^6),2)*64+MOD(INT(MOD(INT(((4294967295-D14))/65536),256)/2^7),2)*MOD(INT(MOD(INT((F14)/65536),256)/2^7),2)*128)*65536+(MOD(INT(MOD(INT(((4294967295-D14))/16777216),256)/2^0),2)*MOD(INT(MOD(INT((F14)/16777216),256)/2^0),2)*1+MOD(INT(MOD(INT(((4294967295-D14))/16777216),256)/2^1),2)*MOD(INT(MOD(INT((F14)/16777216),256)/2^1),2)*2+MOD(INT(MOD(INT(((4294967295-D14))/16777216),256)/2^2),2)*MOD(INT(MOD(INT((F14)/16777216),256)/2^2),2)*4+MOD(INT(MOD(INT(((4294967295-D14))/16777216),256)/2^3),2)*MOD(INT(MOD(INT((F14)/16777216),256)/2^3),2)*8+MOD(INT(MOD(INT(((4294967295-D14))/16777216),256)/2^4),2)*MOD(INT(MOD(INT((F14)/16777216),256)/2^4),2)*16+MOD(INT(MOD(INT(((4294967295-D14))/16777216),256)/2^5),2)*MOD(INT(MOD(INT((F14)/16777216),256)/2^5),2)*32+MOD(INT(MOD(INT(((4294967295-D14))/16777216),256)/2^6),2)*MOD(INT(MOD(INT((F14)/16777216),256)/2^6),2)*64+MOD(INT(MOD(INT(((4294967295-D14))/16777216),256)/2^7),2)*MOD(INT(MOD(INT((F14)/16777216),256)/2^7),2)*128)*16777216)</f>
        <v>3273396789</v>
      </c>
      <c r="I15" s="37" t="s">
        <v>138</v>
      </c>
      <c r="J15" s="35" t="n">
        <f aca="false">MOD(G15+H15,4294967296)</f>
        <v>3407789949</v>
      </c>
      <c r="K15" s="36" t="n">
        <f aca="false">(0)+(0)*256+(0)*65536+(0)*16777216</f>
        <v>0</v>
      </c>
      <c r="L15" s="36" t="n">
        <f aca="false">'📦 MD5 Constants'!C13</f>
        <v>2336552879</v>
      </c>
      <c r="M15" s="36" t="n">
        <f aca="false">'📦 MD5 Constants'!H13</f>
        <v>12</v>
      </c>
      <c r="N15" s="36" t="n">
        <f aca="false">MOD(C14+J15+K15+'📦 MD5 Constants'!C13,4294967296)</f>
        <v>4024975774</v>
      </c>
      <c r="O15" s="36" t="n">
        <f aca="false">MOD(MOD(N15,2^20)*2^12+INT(N15/2^20),4294967296)</f>
        <v>2216292094</v>
      </c>
      <c r="P15" s="35" t="n">
        <f aca="false">D15</f>
        <v>2428280008</v>
      </c>
      <c r="Q15" s="34" t="s">
        <v>148</v>
      </c>
    </row>
    <row r="16" customFormat="false" ht="13.5" hidden="false" customHeight="true" outlineLevel="0" collapsed="false">
      <c r="B16" s="32" t="n">
        <v>11</v>
      </c>
      <c r="C16" s="35" t="n">
        <f aca="false">F15</f>
        <v>3125275976</v>
      </c>
      <c r="D16" s="35" t="n">
        <f aca="false">MOD(D15+O16,4294967296)</f>
        <v>2578352651</v>
      </c>
      <c r="E16" s="35" t="n">
        <f aca="false">D15</f>
        <v>2428280008</v>
      </c>
      <c r="F16" s="35" t="n">
        <f aca="false">E15</f>
        <v>211987914</v>
      </c>
      <c r="G16" s="36" t="n">
        <f aca="false">((MOD(INT(MOD(INT((D15)/1),256)/2^0),2)*MOD(INT(MOD(INT((E15)/1),256)/2^0),2)*1+MOD(INT(MOD(INT((D15)/1),256)/2^1),2)*MOD(INT(MOD(INT((E15)/1),256)/2^1),2)*2+MOD(INT(MOD(INT((D15)/1),256)/2^2),2)*MOD(INT(MOD(INT((E15)/1),256)/2^2),2)*4+MOD(INT(MOD(INT((D15)/1),256)/2^3),2)*MOD(INT(MOD(INT((E15)/1),256)/2^3),2)*8+MOD(INT(MOD(INT((D15)/1),256)/2^4),2)*MOD(INT(MOD(INT((E15)/1),256)/2^4),2)*16+MOD(INT(MOD(INT((D15)/1),256)/2^5),2)*MOD(INT(MOD(INT((E15)/1),256)/2^5),2)*32+MOD(INT(MOD(INT((D15)/1),256)/2^6),2)*MOD(INT(MOD(INT((E15)/1),256)/2^6),2)*64+MOD(INT(MOD(INT((D15)/1),256)/2^7),2)*MOD(INT(MOD(INT((E15)/1),256)/2^7),2)*128)*1+(MOD(INT(MOD(INT((D15)/256),256)/2^0),2)*MOD(INT(MOD(INT((E15)/256),256)/2^0),2)*1+MOD(INT(MOD(INT((D15)/256),256)/2^1),2)*MOD(INT(MOD(INT((E15)/256),256)/2^1),2)*2+MOD(INT(MOD(INT((D15)/256),256)/2^2),2)*MOD(INT(MOD(INT((E15)/256),256)/2^2),2)*4+MOD(INT(MOD(INT((D15)/256),256)/2^3),2)*MOD(INT(MOD(INT((E15)/256),256)/2^3),2)*8+MOD(INT(MOD(INT((D15)/256),256)/2^4),2)*MOD(INT(MOD(INT((E15)/256),256)/2^4),2)*16+MOD(INT(MOD(INT((D15)/256),256)/2^5),2)*MOD(INT(MOD(INT((E15)/256),256)/2^5),2)*32+MOD(INT(MOD(INT((D15)/256),256)/2^6),2)*MOD(INT(MOD(INT((E15)/256),256)/2^6),2)*64+MOD(INT(MOD(INT((D15)/256),256)/2^7),2)*MOD(INT(MOD(INT((E15)/256),256)/2^7),2)*128)*256+(MOD(INT(MOD(INT((D15)/65536),256)/2^0),2)*MOD(INT(MOD(INT((E15)/65536),256)/2^0),2)*1+MOD(INT(MOD(INT((D15)/65536),256)/2^1),2)*MOD(INT(MOD(INT((E15)/65536),256)/2^1),2)*2+MOD(INT(MOD(INT((D15)/65536),256)/2^2),2)*MOD(INT(MOD(INT((E15)/65536),256)/2^2),2)*4+MOD(INT(MOD(INT((D15)/65536),256)/2^3),2)*MOD(INT(MOD(INT((E15)/65536),256)/2^3),2)*8+MOD(INT(MOD(INT((D15)/65536),256)/2^4),2)*MOD(INT(MOD(INT((E15)/65536),256)/2^4),2)*16+MOD(INT(MOD(INT((D15)/65536),256)/2^5),2)*MOD(INT(MOD(INT((E15)/65536),256)/2^5),2)*32+MOD(INT(MOD(INT((D15)/65536),256)/2^6),2)*MOD(INT(MOD(INT((E15)/65536),256)/2^6),2)*64+MOD(INT(MOD(INT((D15)/65536),256)/2^7),2)*MOD(INT(MOD(INT((E15)/65536),256)/2^7),2)*128)*65536+(MOD(INT(MOD(INT((D15)/16777216),256)/2^0),2)*MOD(INT(MOD(INT((E15)/16777216),256)/2^0),2)*1+MOD(INT(MOD(INT((D15)/16777216),256)/2^1),2)*MOD(INT(MOD(INT((E15)/16777216),256)/2^1),2)*2+MOD(INT(MOD(INT((D15)/16777216),256)/2^2),2)*MOD(INT(MOD(INT((E15)/16777216),256)/2^2),2)*4+MOD(INT(MOD(INT((D15)/16777216),256)/2^3),2)*MOD(INT(MOD(INT((E15)/16777216),256)/2^3),2)*8+MOD(INT(MOD(INT((D15)/16777216),256)/2^4),2)*MOD(INT(MOD(INT((E15)/16777216),256)/2^4),2)*16+MOD(INT(MOD(INT((D15)/16777216),256)/2^5),2)*MOD(INT(MOD(INT((E15)/16777216),256)/2^5),2)*32+MOD(INT(MOD(INT((D15)/16777216),256)/2^6),2)*MOD(INT(MOD(INT((E15)/16777216),256)/2^6),2)*64+MOD(INT(MOD(INT((D15)/16777216),256)/2^7),2)*MOD(INT(MOD(INT((E15)/16777216),256)/2^7),2)*128)*16777216)</f>
        <v>10521800</v>
      </c>
      <c r="H16" s="36" t="n">
        <f aca="false">((MOD(INT(MOD(INT(((4294967295-D15))/1),256)/2^0),2)*MOD(INT(MOD(INT((F15)/1),256)/2^0),2)*1+MOD(INT(MOD(INT(((4294967295-D15))/1),256)/2^1),2)*MOD(INT(MOD(INT((F15)/1),256)/2^1),2)*2+MOD(INT(MOD(INT(((4294967295-D15))/1),256)/2^2),2)*MOD(INT(MOD(INT((F15)/1),256)/2^2),2)*4+MOD(INT(MOD(INT(((4294967295-D15))/1),256)/2^3),2)*MOD(INT(MOD(INT((F15)/1),256)/2^3),2)*8+MOD(INT(MOD(INT(((4294967295-D15))/1),256)/2^4),2)*MOD(INT(MOD(INT((F15)/1),256)/2^4),2)*16+MOD(INT(MOD(INT(((4294967295-D15))/1),256)/2^5),2)*MOD(INT(MOD(INT((F15)/1),256)/2^5),2)*32+MOD(INT(MOD(INT(((4294967295-D15))/1),256)/2^6),2)*MOD(INT(MOD(INT((F15)/1),256)/2^6),2)*64+MOD(INT(MOD(INT(((4294967295-D15))/1),256)/2^7),2)*MOD(INT(MOD(INT((F15)/1),256)/2^7),2)*128)*1+(MOD(INT(MOD(INT(((4294967295-D15))/256),256)/2^0),2)*MOD(INT(MOD(INT((F15)/256),256)/2^0),2)*1+MOD(INT(MOD(INT(((4294967295-D15))/256),256)/2^1),2)*MOD(INT(MOD(INT((F15)/256),256)/2^1),2)*2+MOD(INT(MOD(INT(((4294967295-D15))/256),256)/2^2),2)*MOD(INT(MOD(INT((F15)/256),256)/2^2),2)*4+MOD(INT(MOD(INT(((4294967295-D15))/256),256)/2^3),2)*MOD(INT(MOD(INT((F15)/256),256)/2^3),2)*8+MOD(INT(MOD(INT(((4294967295-D15))/256),256)/2^4),2)*MOD(INT(MOD(INT((F15)/256),256)/2^4),2)*16+MOD(INT(MOD(INT(((4294967295-D15))/256),256)/2^5),2)*MOD(INT(MOD(INT((F15)/256),256)/2^5),2)*32+MOD(INT(MOD(INT(((4294967295-D15))/256),256)/2^6),2)*MOD(INT(MOD(INT((F15)/256),256)/2^6),2)*64+MOD(INT(MOD(INT(((4294967295-D15))/256),256)/2^7),2)*MOD(INT(MOD(INT((F15)/256),256)/2^7),2)*128)*256+(MOD(INT(MOD(INT(((4294967295-D15))/65536),256)/2^0),2)*MOD(INT(MOD(INT((F15)/65536),256)/2^0),2)*1+MOD(INT(MOD(INT(((4294967295-D15))/65536),256)/2^1),2)*MOD(INT(MOD(INT((F15)/65536),256)/2^1),2)*2+MOD(INT(MOD(INT(((4294967295-D15))/65536),256)/2^2),2)*MOD(INT(MOD(INT((F15)/65536),256)/2^2),2)*4+MOD(INT(MOD(INT(((4294967295-D15))/65536),256)/2^3),2)*MOD(INT(MOD(INT((F15)/65536),256)/2^3),2)*8+MOD(INT(MOD(INT(((4294967295-D15))/65536),256)/2^4),2)*MOD(INT(MOD(INT((F15)/65536),256)/2^4),2)*16+MOD(INT(MOD(INT(((4294967295-D15))/65536),256)/2^5),2)*MOD(INT(MOD(INT((F15)/65536),256)/2^5),2)*32+MOD(INT(MOD(INT(((4294967295-D15))/65536),256)/2^6),2)*MOD(INT(MOD(INT((F15)/65536),256)/2^6),2)*64+MOD(INT(MOD(INT(((4294967295-D15))/65536),256)/2^7),2)*MOD(INT(MOD(INT((F15)/65536),256)/2^7),2)*128)*65536+(MOD(INT(MOD(INT(((4294967295-D15))/16777216),256)/2^0),2)*MOD(INT(MOD(INT((F15)/16777216),256)/2^0),2)*1+MOD(INT(MOD(INT(((4294967295-D15))/16777216),256)/2^1),2)*MOD(INT(MOD(INT((F15)/16777216),256)/2^1),2)*2+MOD(INT(MOD(INT(((4294967295-D15))/16777216),256)/2^2),2)*MOD(INT(MOD(INT((F15)/16777216),256)/2^2),2)*4+MOD(INT(MOD(INT(((4294967295-D15))/16777216),256)/2^3),2)*MOD(INT(MOD(INT((F15)/16777216),256)/2^3),2)*8+MOD(INT(MOD(INT(((4294967295-D15))/16777216),256)/2^4),2)*MOD(INT(MOD(INT((F15)/16777216),256)/2^4),2)*16+MOD(INT(MOD(INT(((4294967295-D15))/16777216),256)/2^5),2)*MOD(INT(MOD(INT((F15)/16777216),256)/2^5),2)*32+MOD(INT(MOD(INT(((4294967295-D15))/16777216),256)/2^6),2)*MOD(INT(MOD(INT((F15)/16777216),256)/2^6),2)*64+MOD(INT(MOD(INT(((4294967295-D15))/16777216),256)/2^7),2)*MOD(INT(MOD(INT((F15)/16777216),256)/2^7),2)*128)*16777216)</f>
        <v>709058816</v>
      </c>
      <c r="I16" s="37" t="s">
        <v>138</v>
      </c>
      <c r="J16" s="35" t="n">
        <f aca="false">MOD(G16+H16,4294967296)</f>
        <v>719580616</v>
      </c>
      <c r="K16" s="36" t="n">
        <f aca="false">(0)+(0)*256+(0)*65536+(0)*16777216</f>
        <v>0</v>
      </c>
      <c r="L16" s="36" t="n">
        <f aca="false">'📦 MD5 Constants'!C14</f>
        <v>4294925233</v>
      </c>
      <c r="M16" s="36" t="n">
        <f aca="false">'📦 MD5 Constants'!H14</f>
        <v>17</v>
      </c>
      <c r="N16" s="36" t="n">
        <f aca="false">MOD(C15+J16+K16+'📦 MD5 Constants'!C14,4294967296)</f>
        <v>4137780344</v>
      </c>
      <c r="O16" s="36" t="n">
        <f aca="false">MOD(MOD(N16,2^15)*2^17+INT(N16/2^15),4294967296)</f>
        <v>150072643</v>
      </c>
      <c r="P16" s="35" t="n">
        <f aca="false">D16</f>
        <v>2578352651</v>
      </c>
      <c r="Q16" s="34" t="s">
        <v>149</v>
      </c>
    </row>
    <row r="17" customFormat="false" ht="13.5" hidden="false" customHeight="true" outlineLevel="0" collapsed="false">
      <c r="B17" s="32" t="n">
        <v>12</v>
      </c>
      <c r="C17" s="35" t="n">
        <f aca="false">F16</f>
        <v>211987914</v>
      </c>
      <c r="D17" s="35" t="n">
        <f aca="false">MOD(D16+O17,4294967296)</f>
        <v>1298439783</v>
      </c>
      <c r="E17" s="35" t="n">
        <f aca="false">D16</f>
        <v>2578352651</v>
      </c>
      <c r="F17" s="35" t="n">
        <f aca="false">E16</f>
        <v>2428280008</v>
      </c>
      <c r="G17" s="36" t="n">
        <f aca="false">((MOD(INT(MOD(INT((D16)/1),256)/2^0),2)*MOD(INT(MOD(INT((E16)/1),256)/2^0),2)*1+MOD(INT(MOD(INT((D16)/1),256)/2^1),2)*MOD(INT(MOD(INT((E16)/1),256)/2^1),2)*2+MOD(INT(MOD(INT((D16)/1),256)/2^2),2)*MOD(INT(MOD(INT((E16)/1),256)/2^2),2)*4+MOD(INT(MOD(INT((D16)/1),256)/2^3),2)*MOD(INT(MOD(INT((E16)/1),256)/2^3),2)*8+MOD(INT(MOD(INT((D16)/1),256)/2^4),2)*MOD(INT(MOD(INT((E16)/1),256)/2^4),2)*16+MOD(INT(MOD(INT((D16)/1),256)/2^5),2)*MOD(INT(MOD(INT((E16)/1),256)/2^5),2)*32+MOD(INT(MOD(INT((D16)/1),256)/2^6),2)*MOD(INT(MOD(INT((E16)/1),256)/2^6),2)*64+MOD(INT(MOD(INT((D16)/1),256)/2^7),2)*MOD(INT(MOD(INT((E16)/1),256)/2^7),2)*128)*1+(MOD(INT(MOD(INT((D16)/256),256)/2^0),2)*MOD(INT(MOD(INT((E16)/256),256)/2^0),2)*1+MOD(INT(MOD(INT((D16)/256),256)/2^1),2)*MOD(INT(MOD(INT((E16)/256),256)/2^1),2)*2+MOD(INT(MOD(INT((D16)/256),256)/2^2),2)*MOD(INT(MOD(INT((E16)/256),256)/2^2),2)*4+MOD(INT(MOD(INT((D16)/256),256)/2^3),2)*MOD(INT(MOD(INT((E16)/256),256)/2^3),2)*8+MOD(INT(MOD(INT((D16)/256),256)/2^4),2)*MOD(INT(MOD(INT((E16)/256),256)/2^4),2)*16+MOD(INT(MOD(INT((D16)/256),256)/2^5),2)*MOD(INT(MOD(INT((E16)/256),256)/2^5),2)*32+MOD(INT(MOD(INT((D16)/256),256)/2^6),2)*MOD(INT(MOD(INT((E16)/256),256)/2^6),2)*64+MOD(INT(MOD(INT((D16)/256),256)/2^7),2)*MOD(INT(MOD(INT((E16)/256),256)/2^7),2)*128)*256+(MOD(INT(MOD(INT((D16)/65536),256)/2^0),2)*MOD(INT(MOD(INT((E16)/65536),256)/2^0),2)*1+MOD(INT(MOD(INT((D16)/65536),256)/2^1),2)*MOD(INT(MOD(INT((E16)/65536),256)/2^1),2)*2+MOD(INT(MOD(INT((D16)/65536),256)/2^2),2)*MOD(INT(MOD(INT((E16)/65536),256)/2^2),2)*4+MOD(INT(MOD(INT((D16)/65536),256)/2^3),2)*MOD(INT(MOD(INT((E16)/65536),256)/2^3),2)*8+MOD(INT(MOD(INT((D16)/65536),256)/2^4),2)*MOD(INT(MOD(INT((E16)/65536),256)/2^4),2)*16+MOD(INT(MOD(INT((D16)/65536),256)/2^5),2)*MOD(INT(MOD(INT((E16)/65536),256)/2^5),2)*32+MOD(INT(MOD(INT((D16)/65536),256)/2^6),2)*MOD(INT(MOD(INT((E16)/65536),256)/2^6),2)*64+MOD(INT(MOD(INT((D16)/65536),256)/2^7),2)*MOD(INT(MOD(INT((E16)/65536),256)/2^7),2)*128)*65536+(MOD(INT(MOD(INT((D16)/16777216),256)/2^0),2)*MOD(INT(MOD(INT((E16)/16777216),256)/2^0),2)*1+MOD(INT(MOD(INT((D16)/16777216),256)/2^1),2)*MOD(INT(MOD(INT((E16)/16777216),256)/2^1),2)*2+MOD(INT(MOD(INT((D16)/16777216),256)/2^2),2)*MOD(INT(MOD(INT((E16)/16777216),256)/2^2),2)*4+MOD(INT(MOD(INT((D16)/16777216),256)/2^3),2)*MOD(INT(MOD(INT((E16)/16777216),256)/2^3),2)*8+MOD(INT(MOD(INT((D16)/16777216),256)/2^4),2)*MOD(INT(MOD(INT((E16)/16777216),256)/2^4),2)*16+MOD(INT(MOD(INT((D16)/16777216),256)/2^5),2)*MOD(INT(MOD(INT((E16)/16777216),256)/2^5),2)*32+MOD(INT(MOD(INT((D16)/16777216),256)/2^6),2)*MOD(INT(MOD(INT((E16)/16777216),256)/2^6),2)*64+MOD(INT(MOD(INT((D16)/16777216),256)/2^7),2)*MOD(INT(MOD(INT((E16)/16777216),256)/2^7),2)*128)*16777216)</f>
        <v>2427226120</v>
      </c>
      <c r="H17" s="36" t="n">
        <f aca="false">((MOD(INT(MOD(INT(((4294967295-D16))/1),256)/2^0),2)*MOD(INT(MOD(INT((F16)/1),256)/2^0),2)*1+MOD(INT(MOD(INT(((4294967295-D16))/1),256)/2^1),2)*MOD(INT(MOD(INT((F16)/1),256)/2^1),2)*2+MOD(INT(MOD(INT(((4294967295-D16))/1),256)/2^2),2)*MOD(INT(MOD(INT((F16)/1),256)/2^2),2)*4+MOD(INT(MOD(INT(((4294967295-D16))/1),256)/2^3),2)*MOD(INT(MOD(INT((F16)/1),256)/2^3),2)*8+MOD(INT(MOD(INT(((4294967295-D16))/1),256)/2^4),2)*MOD(INT(MOD(INT((F16)/1),256)/2^4),2)*16+MOD(INT(MOD(INT(((4294967295-D16))/1),256)/2^5),2)*MOD(INT(MOD(INT((F16)/1),256)/2^5),2)*32+MOD(INT(MOD(INT(((4294967295-D16))/1),256)/2^6),2)*MOD(INT(MOD(INT((F16)/1),256)/2^6),2)*64+MOD(INT(MOD(INT(((4294967295-D16))/1),256)/2^7),2)*MOD(INT(MOD(INT((F16)/1),256)/2^7),2)*128)*1+(MOD(INT(MOD(INT(((4294967295-D16))/256),256)/2^0),2)*MOD(INT(MOD(INT((F16)/256),256)/2^0),2)*1+MOD(INT(MOD(INT(((4294967295-D16))/256),256)/2^1),2)*MOD(INT(MOD(INT((F16)/256),256)/2^1),2)*2+MOD(INT(MOD(INT(((4294967295-D16))/256),256)/2^2),2)*MOD(INT(MOD(INT((F16)/256),256)/2^2),2)*4+MOD(INT(MOD(INT(((4294967295-D16))/256),256)/2^3),2)*MOD(INT(MOD(INT((F16)/256),256)/2^3),2)*8+MOD(INT(MOD(INT(((4294967295-D16))/256),256)/2^4),2)*MOD(INT(MOD(INT((F16)/256),256)/2^4),2)*16+MOD(INT(MOD(INT(((4294967295-D16))/256),256)/2^5),2)*MOD(INT(MOD(INT((F16)/256),256)/2^5),2)*32+MOD(INT(MOD(INT(((4294967295-D16))/256),256)/2^6),2)*MOD(INT(MOD(INT((F16)/256),256)/2^6),2)*64+MOD(INT(MOD(INT(((4294967295-D16))/256),256)/2^7),2)*MOD(INT(MOD(INT((F16)/256),256)/2^7),2)*128)*256+(MOD(INT(MOD(INT(((4294967295-D16))/65536),256)/2^0),2)*MOD(INT(MOD(INT((F16)/65536),256)/2^0),2)*1+MOD(INT(MOD(INT(((4294967295-D16))/65536),256)/2^1),2)*MOD(INT(MOD(INT((F16)/65536),256)/2^1),2)*2+MOD(INT(MOD(INT(((4294967295-D16))/65536),256)/2^2),2)*MOD(INT(MOD(INT((F16)/65536),256)/2^2),2)*4+MOD(INT(MOD(INT(((4294967295-D16))/65536),256)/2^3),2)*MOD(INT(MOD(INT((F16)/65536),256)/2^3),2)*8+MOD(INT(MOD(INT(((4294967295-D16))/65536),256)/2^4),2)*MOD(INT(MOD(INT((F16)/65536),256)/2^4),2)*16+MOD(INT(MOD(INT(((4294967295-D16))/65536),256)/2^5),2)*MOD(INT(MOD(INT((F16)/65536),256)/2^5),2)*32+MOD(INT(MOD(INT(((4294967295-D16))/65536),256)/2^6),2)*MOD(INT(MOD(INT((F16)/65536),256)/2^6),2)*64+MOD(INT(MOD(INT(((4294967295-D16))/65536),256)/2^7),2)*MOD(INT(MOD(INT((F16)/65536),256)/2^7),2)*128)*65536+(MOD(INT(MOD(INT(((4294967295-D16))/16777216),256)/2^0),2)*MOD(INT(MOD(INT((F16)/16777216),256)/2^0),2)*1+MOD(INT(MOD(INT(((4294967295-D16))/16777216),256)/2^1),2)*MOD(INT(MOD(INT((F16)/16777216),256)/2^1),2)*2+MOD(INT(MOD(INT(((4294967295-D16))/16777216),256)/2^2),2)*MOD(INT(MOD(INT((F16)/16777216),256)/2^2),2)*4+MOD(INT(MOD(INT(((4294967295-D16))/16777216),256)/2^3),2)*MOD(INT(MOD(INT((F16)/16777216),256)/2^3),2)*8+MOD(INT(MOD(INT(((4294967295-D16))/16777216),256)/2^4),2)*MOD(INT(MOD(INT((F16)/16777216),256)/2^4),2)*16+MOD(INT(MOD(INT(((4294967295-D16))/16777216),256)/2^5),2)*MOD(INT(MOD(INT((F16)/16777216),256)/2^5),2)*32+MOD(INT(MOD(INT(((4294967295-D16))/16777216),256)/2^6),2)*MOD(INT(MOD(INT((F16)/16777216),256)/2^6),2)*64+MOD(INT(MOD(INT(((4294967295-D16))/16777216),256)/2^7),2)*MOD(INT(MOD(INT((F16)/16777216),256)/2^7),2)*128)*16777216)</f>
        <v>67118528</v>
      </c>
      <c r="I17" s="37" t="s">
        <v>138</v>
      </c>
      <c r="J17" s="35" t="n">
        <f aca="false">MOD(G17+H17,4294967296)</f>
        <v>2494344648</v>
      </c>
      <c r="K17" s="36" t="n">
        <f aca="false">(0)+(0)*256+(0)*65536+(0)*16777216</f>
        <v>0</v>
      </c>
      <c r="L17" s="36" t="n">
        <f aca="false">'📦 MD5 Constants'!C15</f>
        <v>2304563134</v>
      </c>
      <c r="M17" s="36" t="n">
        <f aca="false">'📦 MD5 Constants'!H15</f>
        <v>22</v>
      </c>
      <c r="N17" s="36" t="n">
        <f aca="false">MOD(C16+J17+K17+'📦 MD5 Constants'!C15,4294967296)</f>
        <v>3629216462</v>
      </c>
      <c r="O17" s="36" t="n">
        <f aca="false">MOD(MOD(N17,2^10)*2^22+INT(N17/2^10),4294967296)</f>
        <v>3015054428</v>
      </c>
      <c r="P17" s="35" t="n">
        <f aca="false">D17</f>
        <v>1298439783</v>
      </c>
      <c r="Q17" s="34" t="s">
        <v>150</v>
      </c>
    </row>
    <row r="18" customFormat="false" ht="13.5" hidden="false" customHeight="true" outlineLevel="0" collapsed="false">
      <c r="B18" s="32" t="n">
        <v>13</v>
      </c>
      <c r="C18" s="35" t="n">
        <f aca="false">F17</f>
        <v>2428280008</v>
      </c>
      <c r="D18" s="35" t="n">
        <f aca="false">MOD(D17+O18,4294967296)</f>
        <v>1158240751</v>
      </c>
      <c r="E18" s="35" t="n">
        <f aca="false">D17</f>
        <v>1298439783</v>
      </c>
      <c r="F18" s="35" t="n">
        <f aca="false">E17</f>
        <v>2578352651</v>
      </c>
      <c r="G18" s="36" t="n">
        <f aca="false">((MOD(INT(MOD(INT((D17)/1),256)/2^0),2)*MOD(INT(MOD(INT((E17)/1),256)/2^0),2)*1+MOD(INT(MOD(INT((D17)/1),256)/2^1),2)*MOD(INT(MOD(INT((E17)/1),256)/2^1),2)*2+MOD(INT(MOD(INT((D17)/1),256)/2^2),2)*MOD(INT(MOD(INT((E17)/1),256)/2^2),2)*4+MOD(INT(MOD(INT((D17)/1),256)/2^3),2)*MOD(INT(MOD(INT((E17)/1),256)/2^3),2)*8+MOD(INT(MOD(INT((D17)/1),256)/2^4),2)*MOD(INT(MOD(INT((E17)/1),256)/2^4),2)*16+MOD(INT(MOD(INT((D17)/1),256)/2^5),2)*MOD(INT(MOD(INT((E17)/1),256)/2^5),2)*32+MOD(INT(MOD(INT((D17)/1),256)/2^6),2)*MOD(INT(MOD(INT((E17)/1),256)/2^6),2)*64+MOD(INT(MOD(INT((D17)/1),256)/2^7),2)*MOD(INT(MOD(INT((E17)/1),256)/2^7),2)*128)*1+(MOD(INT(MOD(INT((D17)/256),256)/2^0),2)*MOD(INT(MOD(INT((E17)/256),256)/2^0),2)*1+MOD(INT(MOD(INT((D17)/256),256)/2^1),2)*MOD(INT(MOD(INT((E17)/256),256)/2^1),2)*2+MOD(INT(MOD(INT((D17)/256),256)/2^2),2)*MOD(INT(MOD(INT((E17)/256),256)/2^2),2)*4+MOD(INT(MOD(INT((D17)/256),256)/2^3),2)*MOD(INT(MOD(INT((E17)/256),256)/2^3),2)*8+MOD(INT(MOD(INT((D17)/256),256)/2^4),2)*MOD(INT(MOD(INT((E17)/256),256)/2^4),2)*16+MOD(INT(MOD(INT((D17)/256),256)/2^5),2)*MOD(INT(MOD(INT((E17)/256),256)/2^5),2)*32+MOD(INT(MOD(INT((D17)/256),256)/2^6),2)*MOD(INT(MOD(INT((E17)/256),256)/2^6),2)*64+MOD(INT(MOD(INT((D17)/256),256)/2^7),2)*MOD(INT(MOD(INT((E17)/256),256)/2^7),2)*128)*256+(MOD(INT(MOD(INT((D17)/65536),256)/2^0),2)*MOD(INT(MOD(INT((E17)/65536),256)/2^0),2)*1+MOD(INT(MOD(INT((D17)/65536),256)/2^1),2)*MOD(INT(MOD(INT((E17)/65536),256)/2^1),2)*2+MOD(INT(MOD(INT((D17)/65536),256)/2^2),2)*MOD(INT(MOD(INT((E17)/65536),256)/2^2),2)*4+MOD(INT(MOD(INT((D17)/65536),256)/2^3),2)*MOD(INT(MOD(INT((E17)/65536),256)/2^3),2)*8+MOD(INT(MOD(INT((D17)/65536),256)/2^4),2)*MOD(INT(MOD(INT((E17)/65536),256)/2^4),2)*16+MOD(INT(MOD(INT((D17)/65536),256)/2^5),2)*MOD(INT(MOD(INT((E17)/65536),256)/2^5),2)*32+MOD(INT(MOD(INT((D17)/65536),256)/2^6),2)*MOD(INT(MOD(INT((E17)/65536),256)/2^6),2)*64+MOD(INT(MOD(INT((D17)/65536),256)/2^7),2)*MOD(INT(MOD(INT((E17)/65536),256)/2^7),2)*128)*65536+(MOD(INT(MOD(INT((D17)/16777216),256)/2^0),2)*MOD(INT(MOD(INT((E17)/16777216),256)/2^0),2)*1+MOD(INT(MOD(INT((D17)/16777216),256)/2^1),2)*MOD(INT(MOD(INT((E17)/16777216),256)/2^1),2)*2+MOD(INT(MOD(INT((D17)/16777216),256)/2^2),2)*MOD(INT(MOD(INT((E17)/16777216),256)/2^2),2)*4+MOD(INT(MOD(INT((D17)/16777216),256)/2^3),2)*MOD(INT(MOD(INT((E17)/16777216),256)/2^3),2)*8+MOD(INT(MOD(INT((D17)/16777216),256)/2^4),2)*MOD(INT(MOD(INT((E17)/16777216),256)/2^4),2)*16+MOD(INT(MOD(INT((D17)/16777216),256)/2^5),2)*MOD(INT(MOD(INT((E17)/16777216),256)/2^5),2)*32+MOD(INT(MOD(INT((D17)/16777216),256)/2^6),2)*MOD(INT(MOD(INT((E17)/16777216),256)/2^6),2)*64+MOD(INT(MOD(INT((D17)/16777216),256)/2^7),2)*MOD(INT(MOD(INT((E17)/16777216),256)/2^7),2)*128)*16777216)</f>
        <v>153389571</v>
      </c>
      <c r="H18" s="36" t="n">
        <f aca="false">((MOD(INT(MOD(INT(((4294967295-D17))/1),256)/2^0),2)*MOD(INT(MOD(INT((F17)/1),256)/2^0),2)*1+MOD(INT(MOD(INT(((4294967295-D17))/1),256)/2^1),2)*MOD(INT(MOD(INT((F17)/1),256)/2^1),2)*2+MOD(INT(MOD(INT(((4294967295-D17))/1),256)/2^2),2)*MOD(INT(MOD(INT((F17)/1),256)/2^2),2)*4+MOD(INT(MOD(INT(((4294967295-D17))/1),256)/2^3),2)*MOD(INT(MOD(INT((F17)/1),256)/2^3),2)*8+MOD(INT(MOD(INT(((4294967295-D17))/1),256)/2^4),2)*MOD(INT(MOD(INT((F17)/1),256)/2^4),2)*16+MOD(INT(MOD(INT(((4294967295-D17))/1),256)/2^5),2)*MOD(INT(MOD(INT((F17)/1),256)/2^5),2)*32+MOD(INT(MOD(INT(((4294967295-D17))/1),256)/2^6),2)*MOD(INT(MOD(INT((F17)/1),256)/2^6),2)*64+MOD(INT(MOD(INT(((4294967295-D17))/1),256)/2^7),2)*MOD(INT(MOD(INT((F17)/1),256)/2^7),2)*128)*1+(MOD(INT(MOD(INT(((4294967295-D17))/256),256)/2^0),2)*MOD(INT(MOD(INT((F17)/256),256)/2^0),2)*1+MOD(INT(MOD(INT(((4294967295-D17))/256),256)/2^1),2)*MOD(INT(MOD(INT((F17)/256),256)/2^1),2)*2+MOD(INT(MOD(INT(((4294967295-D17))/256),256)/2^2),2)*MOD(INT(MOD(INT((F17)/256),256)/2^2),2)*4+MOD(INT(MOD(INT(((4294967295-D17))/256),256)/2^3),2)*MOD(INT(MOD(INT((F17)/256),256)/2^3),2)*8+MOD(INT(MOD(INT(((4294967295-D17))/256),256)/2^4),2)*MOD(INT(MOD(INT((F17)/256),256)/2^4),2)*16+MOD(INT(MOD(INT(((4294967295-D17))/256),256)/2^5),2)*MOD(INT(MOD(INT((F17)/256),256)/2^5),2)*32+MOD(INT(MOD(INT(((4294967295-D17))/256),256)/2^6),2)*MOD(INT(MOD(INT((F17)/256),256)/2^6),2)*64+MOD(INT(MOD(INT(((4294967295-D17))/256),256)/2^7),2)*MOD(INT(MOD(INT((F17)/256),256)/2^7),2)*128)*256+(MOD(INT(MOD(INT(((4294967295-D17))/65536),256)/2^0),2)*MOD(INT(MOD(INT((F17)/65536),256)/2^0),2)*1+MOD(INT(MOD(INT(((4294967295-D17))/65536),256)/2^1),2)*MOD(INT(MOD(INT((F17)/65536),256)/2^1),2)*2+MOD(INT(MOD(INT(((4294967295-D17))/65536),256)/2^2),2)*MOD(INT(MOD(INT((F17)/65536),256)/2^2),2)*4+MOD(INT(MOD(INT(((4294967295-D17))/65536),256)/2^3),2)*MOD(INT(MOD(INT((F17)/65536),256)/2^3),2)*8+MOD(INT(MOD(INT(((4294967295-D17))/65536),256)/2^4),2)*MOD(INT(MOD(INT((F17)/65536),256)/2^4),2)*16+MOD(INT(MOD(INT(((4294967295-D17))/65536),256)/2^5),2)*MOD(INT(MOD(INT((F17)/65536),256)/2^5),2)*32+MOD(INT(MOD(INT(((4294967295-D17))/65536),256)/2^6),2)*MOD(INT(MOD(INT((F17)/65536),256)/2^6),2)*64+MOD(INT(MOD(INT(((4294967295-D17))/65536),256)/2^7),2)*MOD(INT(MOD(INT((F17)/65536),256)/2^7),2)*128)*65536+(MOD(INT(MOD(INT(((4294967295-D17))/16777216),256)/2^0),2)*MOD(INT(MOD(INT((F17)/16777216),256)/2^0),2)*1+MOD(INT(MOD(INT(((4294967295-D17))/16777216),256)/2^1),2)*MOD(INT(MOD(INT((F17)/16777216),256)/2^1),2)*2+MOD(INT(MOD(INT(((4294967295-D17))/16777216),256)/2^2),2)*MOD(INT(MOD(INT((F17)/16777216),256)/2^2),2)*4+MOD(INT(MOD(INT(((4294967295-D17))/16777216),256)/2^3),2)*MOD(INT(MOD(INT((F17)/16777216),256)/2^3),2)*8+MOD(INT(MOD(INT(((4294967295-D17))/16777216),256)/2^4),2)*MOD(INT(MOD(INT((F17)/16777216),256)/2^4),2)*16+MOD(INT(MOD(INT(((4294967295-D17))/16777216),256)/2^5),2)*MOD(INT(MOD(INT((F17)/16777216),256)/2^5),2)*32+MOD(INT(MOD(INT(((4294967295-D17))/16777216),256)/2^6),2)*MOD(INT(MOD(INT((F17)/16777216),256)/2^6),2)*64+MOD(INT(MOD(INT(((4294967295-D17))/16777216),256)/2^7),2)*MOD(INT(MOD(INT((F17)/16777216),256)/2^7),2)*128)*16777216)</f>
        <v>2425880712</v>
      </c>
      <c r="I18" s="37" t="s">
        <v>138</v>
      </c>
      <c r="J18" s="35" t="n">
        <f aca="false">MOD(G18+H18,4294967296)</f>
        <v>2579270283</v>
      </c>
      <c r="K18" s="36" t="n">
        <f aca="false">(0)+(0)*256+(0)*65536+(0)*16777216</f>
        <v>0</v>
      </c>
      <c r="L18" s="36" t="n">
        <f aca="false">'📦 MD5 Constants'!C16</f>
        <v>1804603682</v>
      </c>
      <c r="M18" s="36" t="n">
        <f aca="false">'📦 MD5 Constants'!H16</f>
        <v>7</v>
      </c>
      <c r="N18" s="36" t="n">
        <f aca="false">MOD(C17+J18+K18+'📦 MD5 Constants'!C16,4294967296)</f>
        <v>300894583</v>
      </c>
      <c r="O18" s="36" t="n">
        <f aca="false">MOD(MOD(N18,2^25)*2^7+INT(N18/2^25),4294967296)</f>
        <v>4154768264</v>
      </c>
      <c r="P18" s="35" t="n">
        <f aca="false">D18</f>
        <v>1158240751</v>
      </c>
      <c r="Q18" s="34" t="s">
        <v>151</v>
      </c>
    </row>
    <row r="19" customFormat="false" ht="13.5" hidden="false" customHeight="true" outlineLevel="0" collapsed="false">
      <c r="B19" s="32" t="n">
        <v>14</v>
      </c>
      <c r="C19" s="35" t="n">
        <f aca="false">F18</f>
        <v>2578352651</v>
      </c>
      <c r="D19" s="35" t="n">
        <f aca="false">MOD(D18+O19,4294967296)</f>
        <v>4287987886</v>
      </c>
      <c r="E19" s="35" t="n">
        <f aca="false">D18</f>
        <v>1158240751</v>
      </c>
      <c r="F19" s="35" t="n">
        <f aca="false">E18</f>
        <v>1298439783</v>
      </c>
      <c r="G19" s="36" t="n">
        <f aca="false">((MOD(INT(MOD(INT((D18)/1),256)/2^0),2)*MOD(INT(MOD(INT((E18)/1),256)/2^0),2)*1+MOD(INT(MOD(INT((D18)/1),256)/2^1),2)*MOD(INT(MOD(INT((E18)/1),256)/2^1),2)*2+MOD(INT(MOD(INT((D18)/1),256)/2^2),2)*MOD(INT(MOD(INT((E18)/1),256)/2^2),2)*4+MOD(INT(MOD(INT((D18)/1),256)/2^3),2)*MOD(INT(MOD(INT((E18)/1),256)/2^3),2)*8+MOD(INT(MOD(INT((D18)/1),256)/2^4),2)*MOD(INT(MOD(INT((E18)/1),256)/2^4),2)*16+MOD(INT(MOD(INT((D18)/1),256)/2^5),2)*MOD(INT(MOD(INT((E18)/1),256)/2^5),2)*32+MOD(INT(MOD(INT((D18)/1),256)/2^6),2)*MOD(INT(MOD(INT((E18)/1),256)/2^6),2)*64+MOD(INT(MOD(INT((D18)/1),256)/2^7),2)*MOD(INT(MOD(INT((E18)/1),256)/2^7),2)*128)*1+(MOD(INT(MOD(INT((D18)/256),256)/2^0),2)*MOD(INT(MOD(INT((E18)/256),256)/2^0),2)*1+MOD(INT(MOD(INT((D18)/256),256)/2^1),2)*MOD(INT(MOD(INT((E18)/256),256)/2^1),2)*2+MOD(INT(MOD(INT((D18)/256),256)/2^2),2)*MOD(INT(MOD(INT((E18)/256),256)/2^2),2)*4+MOD(INT(MOD(INT((D18)/256),256)/2^3),2)*MOD(INT(MOD(INT((E18)/256),256)/2^3),2)*8+MOD(INT(MOD(INT((D18)/256),256)/2^4),2)*MOD(INT(MOD(INT((E18)/256),256)/2^4),2)*16+MOD(INT(MOD(INT((D18)/256),256)/2^5),2)*MOD(INT(MOD(INT((E18)/256),256)/2^5),2)*32+MOD(INT(MOD(INT((D18)/256),256)/2^6),2)*MOD(INT(MOD(INT((E18)/256),256)/2^6),2)*64+MOD(INT(MOD(INT((D18)/256),256)/2^7),2)*MOD(INT(MOD(INT((E18)/256),256)/2^7),2)*128)*256+(MOD(INT(MOD(INT((D18)/65536),256)/2^0),2)*MOD(INT(MOD(INT((E18)/65536),256)/2^0),2)*1+MOD(INT(MOD(INT((D18)/65536),256)/2^1),2)*MOD(INT(MOD(INT((E18)/65536),256)/2^1),2)*2+MOD(INT(MOD(INT((D18)/65536),256)/2^2),2)*MOD(INT(MOD(INT((E18)/65536),256)/2^2),2)*4+MOD(INT(MOD(INT((D18)/65536),256)/2^3),2)*MOD(INT(MOD(INT((E18)/65536),256)/2^3),2)*8+MOD(INT(MOD(INT((D18)/65536),256)/2^4),2)*MOD(INT(MOD(INT((E18)/65536),256)/2^4),2)*16+MOD(INT(MOD(INT((D18)/65536),256)/2^5),2)*MOD(INT(MOD(INT((E18)/65536),256)/2^5),2)*32+MOD(INT(MOD(INT((D18)/65536),256)/2^6),2)*MOD(INT(MOD(INT((E18)/65536),256)/2^6),2)*64+MOD(INT(MOD(INT((D18)/65536),256)/2^7),2)*MOD(INT(MOD(INT((E18)/65536),256)/2^7),2)*128)*65536+(MOD(INT(MOD(INT((D18)/16777216),256)/2^0),2)*MOD(INT(MOD(INT((E18)/16777216),256)/2^0),2)*1+MOD(INT(MOD(INT((D18)/16777216),256)/2^1),2)*MOD(INT(MOD(INT((E18)/16777216),256)/2^1),2)*2+MOD(INT(MOD(INT((D18)/16777216),256)/2^2),2)*MOD(INT(MOD(INT((E18)/16777216),256)/2^2),2)*4+MOD(INT(MOD(INT((D18)/16777216),256)/2^3),2)*MOD(INT(MOD(INT((E18)/16777216),256)/2^3),2)*8+MOD(INT(MOD(INT((D18)/16777216),256)/2^4),2)*MOD(INT(MOD(INT((E18)/16777216),256)/2^4),2)*16+MOD(INT(MOD(INT((D18)/16777216),256)/2^5),2)*MOD(INT(MOD(INT((E18)/16777216),256)/2^5),2)*32+MOD(INT(MOD(INT((D18)/16777216),256)/2^6),2)*MOD(INT(MOD(INT((E18)/16777216),256)/2^6),2)*64+MOD(INT(MOD(INT((D18)/16777216),256)/2^7),2)*MOD(INT(MOD(INT((E18)/16777216),256)/2^7),2)*128)*16777216)</f>
        <v>1157634151</v>
      </c>
      <c r="H19" s="36" t="n">
        <f aca="false">((MOD(INT(MOD(INT(((4294967295-D18))/1),256)/2^0),2)*MOD(INT(MOD(INT((F18)/1),256)/2^0),2)*1+MOD(INT(MOD(INT(((4294967295-D18))/1),256)/2^1),2)*MOD(INT(MOD(INT((F18)/1),256)/2^1),2)*2+MOD(INT(MOD(INT(((4294967295-D18))/1),256)/2^2),2)*MOD(INT(MOD(INT((F18)/1),256)/2^2),2)*4+MOD(INT(MOD(INT(((4294967295-D18))/1),256)/2^3),2)*MOD(INT(MOD(INT((F18)/1),256)/2^3),2)*8+MOD(INT(MOD(INT(((4294967295-D18))/1),256)/2^4),2)*MOD(INT(MOD(INT((F18)/1),256)/2^4),2)*16+MOD(INT(MOD(INT(((4294967295-D18))/1),256)/2^5),2)*MOD(INT(MOD(INT((F18)/1),256)/2^5),2)*32+MOD(INT(MOD(INT(((4294967295-D18))/1),256)/2^6),2)*MOD(INT(MOD(INT((F18)/1),256)/2^6),2)*64+MOD(INT(MOD(INT(((4294967295-D18))/1),256)/2^7),2)*MOD(INT(MOD(INT((F18)/1),256)/2^7),2)*128)*1+(MOD(INT(MOD(INT(((4294967295-D18))/256),256)/2^0),2)*MOD(INT(MOD(INT((F18)/256),256)/2^0),2)*1+MOD(INT(MOD(INT(((4294967295-D18))/256),256)/2^1),2)*MOD(INT(MOD(INT((F18)/256),256)/2^1),2)*2+MOD(INT(MOD(INT(((4294967295-D18))/256),256)/2^2),2)*MOD(INT(MOD(INT((F18)/256),256)/2^2),2)*4+MOD(INT(MOD(INT(((4294967295-D18))/256),256)/2^3),2)*MOD(INT(MOD(INT((F18)/256),256)/2^3),2)*8+MOD(INT(MOD(INT(((4294967295-D18))/256),256)/2^4),2)*MOD(INT(MOD(INT((F18)/256),256)/2^4),2)*16+MOD(INT(MOD(INT(((4294967295-D18))/256),256)/2^5),2)*MOD(INT(MOD(INT((F18)/256),256)/2^5),2)*32+MOD(INT(MOD(INT(((4294967295-D18))/256),256)/2^6),2)*MOD(INT(MOD(INT((F18)/256),256)/2^6),2)*64+MOD(INT(MOD(INT(((4294967295-D18))/256),256)/2^7),2)*MOD(INT(MOD(INT((F18)/256),256)/2^7),2)*128)*256+(MOD(INT(MOD(INT(((4294967295-D18))/65536),256)/2^0),2)*MOD(INT(MOD(INT((F18)/65536),256)/2^0),2)*1+MOD(INT(MOD(INT(((4294967295-D18))/65536),256)/2^1),2)*MOD(INT(MOD(INT((F18)/65536),256)/2^1),2)*2+MOD(INT(MOD(INT(((4294967295-D18))/65536),256)/2^2),2)*MOD(INT(MOD(INT((F18)/65536),256)/2^2),2)*4+MOD(INT(MOD(INT(((4294967295-D18))/65536),256)/2^3),2)*MOD(INT(MOD(INT((F18)/65536),256)/2^3),2)*8+MOD(INT(MOD(INT(((4294967295-D18))/65536),256)/2^4),2)*MOD(INT(MOD(INT((F18)/65536),256)/2^4),2)*16+MOD(INT(MOD(INT(((4294967295-D18))/65536),256)/2^5),2)*MOD(INT(MOD(INT((F18)/65536),256)/2^5),2)*32+MOD(INT(MOD(INT(((4294967295-D18))/65536),256)/2^6),2)*MOD(INT(MOD(INT((F18)/65536),256)/2^6),2)*64+MOD(INT(MOD(INT(((4294967295-D18))/65536),256)/2^7),2)*MOD(INT(MOD(INT((F18)/65536),256)/2^7),2)*128)*65536+(MOD(INT(MOD(INT(((4294967295-D18))/16777216),256)/2^0),2)*MOD(INT(MOD(INT((F18)/16777216),256)/2^0),2)*1+MOD(INT(MOD(INT(((4294967295-D18))/16777216),256)/2^1),2)*MOD(INT(MOD(INT((F18)/16777216),256)/2^1),2)*2+MOD(INT(MOD(INT(((4294967295-D18))/16777216),256)/2^2),2)*MOD(INT(MOD(INT((F18)/16777216),256)/2^2),2)*4+MOD(INT(MOD(INT(((4294967295-D18))/16777216),256)/2^3),2)*MOD(INT(MOD(INT((F18)/16777216),256)/2^3),2)*8+MOD(INT(MOD(INT(((4294967295-D18))/16777216),256)/2^4),2)*MOD(INT(MOD(INT((F18)/16777216),256)/2^4),2)*16+MOD(INT(MOD(INT(((4294967295-D18))/16777216),256)/2^5),2)*MOD(INT(MOD(INT((F18)/16777216),256)/2^5),2)*32+MOD(INT(MOD(INT(((4294967295-D18))/16777216),256)/2^6),2)*MOD(INT(MOD(INT((F18)/16777216),256)/2^6),2)*64+MOD(INT(MOD(INT(((4294967295-D18))/16777216),256)/2^7),2)*MOD(INT(MOD(INT((F18)/16777216),256)/2^7),2)*128)*16777216)</f>
        <v>2561049088</v>
      </c>
      <c r="I19" s="37" t="s">
        <v>138</v>
      </c>
      <c r="J19" s="35" t="n">
        <f aca="false">MOD(G19+H19,4294967296)</f>
        <v>3718683239</v>
      </c>
      <c r="K19" s="36" t="n">
        <f aca="false">(0)+(0)*256+(0)*65536+(0)*16777216</f>
        <v>0</v>
      </c>
      <c r="L19" s="36" t="n">
        <f aca="false">'📦 MD5 Constants'!C17</f>
        <v>4254626195</v>
      </c>
      <c r="M19" s="36" t="n">
        <f aca="false">'📦 MD5 Constants'!H17</f>
        <v>12</v>
      </c>
      <c r="N19" s="36" t="n">
        <f aca="false">MOD(C18+J19+K19+'📦 MD5 Constants'!C17,4294967296)</f>
        <v>1811654850</v>
      </c>
      <c r="O19" s="36" t="n">
        <f aca="false">MOD(MOD(N19,2^20)*2^12+INT(N19/2^20),4294967296)</f>
        <v>3129747135</v>
      </c>
      <c r="P19" s="35" t="n">
        <f aca="false">D19</f>
        <v>4287987886</v>
      </c>
      <c r="Q19" s="34" t="s">
        <v>152</v>
      </c>
    </row>
    <row r="20" customFormat="false" ht="13.5" hidden="false" customHeight="true" outlineLevel="0" collapsed="false">
      <c r="B20" s="32" t="n">
        <v>15</v>
      </c>
      <c r="C20" s="35" t="n">
        <f aca="false">F19</f>
        <v>1298439783</v>
      </c>
      <c r="D20" s="35" t="n">
        <f aca="false">MOD(D19+O20,4294967296)</f>
        <v>3640036287</v>
      </c>
      <c r="E20" s="35" t="n">
        <f aca="false">D19</f>
        <v>4287987886</v>
      </c>
      <c r="F20" s="35" t="n">
        <f aca="false">E19</f>
        <v>1158240751</v>
      </c>
      <c r="G20" s="36" t="n">
        <f aca="false">((MOD(INT(MOD(INT((D19)/1),256)/2^0),2)*MOD(INT(MOD(INT((E19)/1),256)/2^0),2)*1+MOD(INT(MOD(INT((D19)/1),256)/2^1),2)*MOD(INT(MOD(INT((E19)/1),256)/2^1),2)*2+MOD(INT(MOD(INT((D19)/1),256)/2^2),2)*MOD(INT(MOD(INT((E19)/1),256)/2^2),2)*4+MOD(INT(MOD(INT((D19)/1),256)/2^3),2)*MOD(INT(MOD(INT((E19)/1),256)/2^3),2)*8+MOD(INT(MOD(INT((D19)/1),256)/2^4),2)*MOD(INT(MOD(INT((E19)/1),256)/2^4),2)*16+MOD(INT(MOD(INT((D19)/1),256)/2^5),2)*MOD(INT(MOD(INT((E19)/1),256)/2^5),2)*32+MOD(INT(MOD(INT((D19)/1),256)/2^6),2)*MOD(INT(MOD(INT((E19)/1),256)/2^6),2)*64+MOD(INT(MOD(INT((D19)/1),256)/2^7),2)*MOD(INT(MOD(INT((E19)/1),256)/2^7),2)*128)*1+(MOD(INT(MOD(INT((D19)/256),256)/2^0),2)*MOD(INT(MOD(INT((E19)/256),256)/2^0),2)*1+MOD(INT(MOD(INT((D19)/256),256)/2^1),2)*MOD(INT(MOD(INT((E19)/256),256)/2^1),2)*2+MOD(INT(MOD(INT((D19)/256),256)/2^2),2)*MOD(INT(MOD(INT((E19)/256),256)/2^2),2)*4+MOD(INT(MOD(INT((D19)/256),256)/2^3),2)*MOD(INT(MOD(INT((E19)/256),256)/2^3),2)*8+MOD(INT(MOD(INT((D19)/256),256)/2^4),2)*MOD(INT(MOD(INT((E19)/256),256)/2^4),2)*16+MOD(INT(MOD(INT((D19)/256),256)/2^5),2)*MOD(INT(MOD(INT((E19)/256),256)/2^5),2)*32+MOD(INT(MOD(INT((D19)/256),256)/2^6),2)*MOD(INT(MOD(INT((E19)/256),256)/2^6),2)*64+MOD(INT(MOD(INT((D19)/256),256)/2^7),2)*MOD(INT(MOD(INT((E19)/256),256)/2^7),2)*128)*256+(MOD(INT(MOD(INT((D19)/65536),256)/2^0),2)*MOD(INT(MOD(INT((E19)/65536),256)/2^0),2)*1+MOD(INT(MOD(INT((D19)/65536),256)/2^1),2)*MOD(INT(MOD(INT((E19)/65536),256)/2^1),2)*2+MOD(INT(MOD(INT((D19)/65536),256)/2^2),2)*MOD(INT(MOD(INT((E19)/65536),256)/2^2),2)*4+MOD(INT(MOD(INT((D19)/65536),256)/2^3),2)*MOD(INT(MOD(INT((E19)/65536),256)/2^3),2)*8+MOD(INT(MOD(INT((D19)/65536),256)/2^4),2)*MOD(INT(MOD(INT((E19)/65536),256)/2^4),2)*16+MOD(INT(MOD(INT((D19)/65536),256)/2^5),2)*MOD(INT(MOD(INT((E19)/65536),256)/2^5),2)*32+MOD(INT(MOD(INT((D19)/65536),256)/2^6),2)*MOD(INT(MOD(INT((E19)/65536),256)/2^6),2)*64+MOD(INT(MOD(INT((D19)/65536),256)/2^7),2)*MOD(INT(MOD(INT((E19)/65536),256)/2^7),2)*128)*65536+(MOD(INT(MOD(INT((D19)/16777216),256)/2^0),2)*MOD(INT(MOD(INT((E19)/16777216),256)/2^0),2)*1+MOD(INT(MOD(INT((D19)/16777216),256)/2^1),2)*MOD(INT(MOD(INT((E19)/16777216),256)/2^1),2)*2+MOD(INT(MOD(INT((D19)/16777216),256)/2^2),2)*MOD(INT(MOD(INT((E19)/16777216),256)/2^2),2)*4+MOD(INT(MOD(INT((D19)/16777216),256)/2^3),2)*MOD(INT(MOD(INT((E19)/16777216),256)/2^3),2)*8+MOD(INT(MOD(INT((D19)/16777216),256)/2^4),2)*MOD(INT(MOD(INT((E19)/16777216),256)/2^4),2)*16+MOD(INT(MOD(INT((D19)/16777216),256)/2^5),2)*MOD(INT(MOD(INT((E19)/16777216),256)/2^5),2)*32+MOD(INT(MOD(INT((D19)/16777216),256)/2^6),2)*MOD(INT(MOD(INT((E19)/16777216),256)/2^6),2)*64+MOD(INT(MOD(INT((D19)/16777216),256)/2^7),2)*MOD(INT(MOD(INT((E19)/16777216),256)/2^7),2)*128)*16777216)</f>
        <v>1157693614</v>
      </c>
      <c r="H20" s="36" t="n">
        <f aca="false">((MOD(INT(MOD(INT(((4294967295-D19))/1),256)/2^0),2)*MOD(INT(MOD(INT((F19)/1),256)/2^0),2)*1+MOD(INT(MOD(INT(((4294967295-D19))/1),256)/2^1),2)*MOD(INT(MOD(INT((F19)/1),256)/2^1),2)*2+MOD(INT(MOD(INT(((4294967295-D19))/1),256)/2^2),2)*MOD(INT(MOD(INT((F19)/1),256)/2^2),2)*4+MOD(INT(MOD(INT(((4294967295-D19))/1),256)/2^3),2)*MOD(INT(MOD(INT((F19)/1),256)/2^3),2)*8+MOD(INT(MOD(INT(((4294967295-D19))/1),256)/2^4),2)*MOD(INT(MOD(INT((F19)/1),256)/2^4),2)*16+MOD(INT(MOD(INT(((4294967295-D19))/1),256)/2^5),2)*MOD(INT(MOD(INT((F19)/1),256)/2^5),2)*32+MOD(INT(MOD(INT(((4294967295-D19))/1),256)/2^6),2)*MOD(INT(MOD(INT((F19)/1),256)/2^6),2)*64+MOD(INT(MOD(INT(((4294967295-D19))/1),256)/2^7),2)*MOD(INT(MOD(INT((F19)/1),256)/2^7),2)*128)*1+(MOD(INT(MOD(INT(((4294967295-D19))/256),256)/2^0),2)*MOD(INT(MOD(INT((F19)/256),256)/2^0),2)*1+MOD(INT(MOD(INT(((4294967295-D19))/256),256)/2^1),2)*MOD(INT(MOD(INT((F19)/256),256)/2^1),2)*2+MOD(INT(MOD(INT(((4294967295-D19))/256),256)/2^2),2)*MOD(INT(MOD(INT((F19)/256),256)/2^2),2)*4+MOD(INT(MOD(INT(((4294967295-D19))/256),256)/2^3),2)*MOD(INT(MOD(INT((F19)/256),256)/2^3),2)*8+MOD(INT(MOD(INT(((4294967295-D19))/256),256)/2^4),2)*MOD(INT(MOD(INT((F19)/256),256)/2^4),2)*16+MOD(INT(MOD(INT(((4294967295-D19))/256),256)/2^5),2)*MOD(INT(MOD(INT((F19)/256),256)/2^5),2)*32+MOD(INT(MOD(INT(((4294967295-D19))/256),256)/2^6),2)*MOD(INT(MOD(INT((F19)/256),256)/2^6),2)*64+MOD(INT(MOD(INT(((4294967295-D19))/256),256)/2^7),2)*MOD(INT(MOD(INT((F19)/256),256)/2^7),2)*128)*256+(MOD(INT(MOD(INT(((4294967295-D19))/65536),256)/2^0),2)*MOD(INT(MOD(INT((F19)/65536),256)/2^0),2)*1+MOD(INT(MOD(INT(((4294967295-D19))/65536),256)/2^1),2)*MOD(INT(MOD(INT((F19)/65536),256)/2^1),2)*2+MOD(INT(MOD(INT(((4294967295-D19))/65536),256)/2^2),2)*MOD(INT(MOD(INT((F19)/65536),256)/2^2),2)*4+MOD(INT(MOD(INT(((4294967295-D19))/65536),256)/2^3),2)*MOD(INT(MOD(INT((F19)/65536),256)/2^3),2)*8+MOD(INT(MOD(INT(((4294967295-D19))/65536),256)/2^4),2)*MOD(INT(MOD(INT((F19)/65536),256)/2^4),2)*16+MOD(INT(MOD(INT(((4294967295-D19))/65536),256)/2^5),2)*MOD(INT(MOD(INT((F19)/65536),256)/2^5),2)*32+MOD(INT(MOD(INT(((4294967295-D19))/65536),256)/2^6),2)*MOD(INT(MOD(INT((F19)/65536),256)/2^6),2)*64+MOD(INT(MOD(INT(((4294967295-D19))/65536),256)/2^7),2)*MOD(INT(MOD(INT((F19)/65536),256)/2^7),2)*128)*65536+(MOD(INT(MOD(INT(((4294967295-D19))/16777216),256)/2^0),2)*MOD(INT(MOD(INT((F19)/16777216),256)/2^0),2)*1+MOD(INT(MOD(INT(((4294967295-D19))/16777216),256)/2^1),2)*MOD(INT(MOD(INT((F19)/16777216),256)/2^1),2)*2+MOD(INT(MOD(INT(((4294967295-D19))/16777216),256)/2^2),2)*MOD(INT(MOD(INT((F19)/16777216),256)/2^2),2)*4+MOD(INT(MOD(INT(((4294967295-D19))/16777216),256)/2^3),2)*MOD(INT(MOD(INT((F19)/16777216),256)/2^3),2)*8+MOD(INT(MOD(INT(((4294967295-D19))/16777216),256)/2^4),2)*MOD(INT(MOD(INT((F19)/16777216),256)/2^4),2)*16+MOD(INT(MOD(INT(((4294967295-D19))/16777216),256)/2^5),2)*MOD(INT(MOD(INT((F19)/16777216),256)/2^5),2)*32+MOD(INT(MOD(INT(((4294967295-D19))/16777216),256)/2^6),2)*MOD(INT(MOD(INT((F19)/16777216),256)/2^6),2)*64+MOD(INT(MOD(INT(((4294967295-D19))/16777216),256)/2^7),2)*MOD(INT(MOD(INT((F19)/16777216),256)/2^7),2)*128)*16777216)</f>
        <v>6299201</v>
      </c>
      <c r="I20" s="37" t="s">
        <v>138</v>
      </c>
      <c r="J20" s="35" t="n">
        <f aca="false">MOD(G20+H20,4294967296)</f>
        <v>1163992815</v>
      </c>
      <c r="K20" s="36" t="n">
        <f aca="false">(MOD(LEN('🔐 MD5'!B5)*8,256))+(MOD(INT(LEN('🔐 MD5'!B5)*8/256),256))*256+(MOD(INT(LEN('🔐 MD5'!B5)*8/65536),256))*65536+(MOD(INT(LEN('🔐 MD5'!B5)*8/16777216),256))*16777216</f>
        <v>40</v>
      </c>
      <c r="L20" s="36" t="n">
        <f aca="false">'📦 MD5 Constants'!C18</f>
        <v>2792965006</v>
      </c>
      <c r="M20" s="36" t="n">
        <f aca="false">'📦 MD5 Constants'!H18</f>
        <v>17</v>
      </c>
      <c r="N20" s="36" t="n">
        <f aca="false">MOD(C19+J20+K20+'📦 MD5 Constants'!C18,4294967296)</f>
        <v>2240343216</v>
      </c>
      <c r="O20" s="36" t="n">
        <f aca="false">MOD(MOD(N20,2^15)*2^17+INT(N20/2^15),4294967296)</f>
        <v>3647015697</v>
      </c>
      <c r="P20" s="35" t="n">
        <f aca="false">D20</f>
        <v>3640036287</v>
      </c>
      <c r="Q20" s="34" t="s">
        <v>153</v>
      </c>
    </row>
    <row r="21" customFormat="false" ht="13.5" hidden="false" customHeight="true" outlineLevel="0" collapsed="false">
      <c r="B21" s="32" t="n">
        <v>16</v>
      </c>
      <c r="C21" s="35" t="n">
        <f aca="false">F20</f>
        <v>1158240751</v>
      </c>
      <c r="D21" s="35" t="n">
        <f aca="false">MOD(D20+O21,4294967296)</f>
        <v>3063134556</v>
      </c>
      <c r="E21" s="35" t="n">
        <f aca="false">D20</f>
        <v>3640036287</v>
      </c>
      <c r="F21" s="35" t="n">
        <f aca="false">E20</f>
        <v>4287987886</v>
      </c>
      <c r="G21" s="36" t="n">
        <f aca="false">((MOD(INT(MOD(INT((D20)/1),256)/2^0),2)*MOD(INT(MOD(INT((E20)/1),256)/2^0),2)*1+MOD(INT(MOD(INT((D20)/1),256)/2^1),2)*MOD(INT(MOD(INT((E20)/1),256)/2^1),2)*2+MOD(INT(MOD(INT((D20)/1),256)/2^2),2)*MOD(INT(MOD(INT((E20)/1),256)/2^2),2)*4+MOD(INT(MOD(INT((D20)/1),256)/2^3),2)*MOD(INT(MOD(INT((E20)/1),256)/2^3),2)*8+MOD(INT(MOD(INT((D20)/1),256)/2^4),2)*MOD(INT(MOD(INT((E20)/1),256)/2^4),2)*16+MOD(INT(MOD(INT((D20)/1),256)/2^5),2)*MOD(INT(MOD(INT((E20)/1),256)/2^5),2)*32+MOD(INT(MOD(INT((D20)/1),256)/2^6),2)*MOD(INT(MOD(INT((E20)/1),256)/2^6),2)*64+MOD(INT(MOD(INT((D20)/1),256)/2^7),2)*MOD(INT(MOD(INT((E20)/1),256)/2^7),2)*128)*1+(MOD(INT(MOD(INT((D20)/256),256)/2^0),2)*MOD(INT(MOD(INT((E20)/256),256)/2^0),2)*1+MOD(INT(MOD(INT((D20)/256),256)/2^1),2)*MOD(INT(MOD(INT((E20)/256),256)/2^1),2)*2+MOD(INT(MOD(INT((D20)/256),256)/2^2),2)*MOD(INT(MOD(INT((E20)/256),256)/2^2),2)*4+MOD(INT(MOD(INT((D20)/256),256)/2^3),2)*MOD(INT(MOD(INT((E20)/256),256)/2^3),2)*8+MOD(INT(MOD(INT((D20)/256),256)/2^4),2)*MOD(INT(MOD(INT((E20)/256),256)/2^4),2)*16+MOD(INT(MOD(INT((D20)/256),256)/2^5),2)*MOD(INT(MOD(INT((E20)/256),256)/2^5),2)*32+MOD(INT(MOD(INT((D20)/256),256)/2^6),2)*MOD(INT(MOD(INT((E20)/256),256)/2^6),2)*64+MOD(INT(MOD(INT((D20)/256),256)/2^7),2)*MOD(INT(MOD(INT((E20)/256),256)/2^7),2)*128)*256+(MOD(INT(MOD(INT((D20)/65536),256)/2^0),2)*MOD(INT(MOD(INT((E20)/65536),256)/2^0),2)*1+MOD(INT(MOD(INT((D20)/65536),256)/2^1),2)*MOD(INT(MOD(INT((E20)/65536),256)/2^1),2)*2+MOD(INT(MOD(INT((D20)/65536),256)/2^2),2)*MOD(INT(MOD(INT((E20)/65536),256)/2^2),2)*4+MOD(INT(MOD(INT((D20)/65536),256)/2^3),2)*MOD(INT(MOD(INT((E20)/65536),256)/2^3),2)*8+MOD(INT(MOD(INT((D20)/65536),256)/2^4),2)*MOD(INT(MOD(INT((E20)/65536),256)/2^4),2)*16+MOD(INT(MOD(INT((D20)/65536),256)/2^5),2)*MOD(INT(MOD(INT((E20)/65536),256)/2^5),2)*32+MOD(INT(MOD(INT((D20)/65536),256)/2^6),2)*MOD(INT(MOD(INT((E20)/65536),256)/2^6),2)*64+MOD(INT(MOD(INT((D20)/65536),256)/2^7),2)*MOD(INT(MOD(INT((E20)/65536),256)/2^7),2)*128)*65536+(MOD(INT(MOD(INT((D20)/16777216),256)/2^0),2)*MOD(INT(MOD(INT((E20)/16777216),256)/2^0),2)*1+MOD(INT(MOD(INT((D20)/16777216),256)/2^1),2)*MOD(INT(MOD(INT((E20)/16777216),256)/2^1),2)*2+MOD(INT(MOD(INT((D20)/16777216),256)/2^2),2)*MOD(INT(MOD(INT((E20)/16777216),256)/2^2),2)*4+MOD(INT(MOD(INT((D20)/16777216),256)/2^3),2)*MOD(INT(MOD(INT((E20)/16777216),256)/2^3),2)*8+MOD(INT(MOD(INT((D20)/16777216),256)/2^4),2)*MOD(INT(MOD(INT((E20)/16777216),256)/2^4),2)*16+MOD(INT(MOD(INT((D20)/16777216),256)/2^5),2)*MOD(INT(MOD(INT((E20)/16777216),256)/2^5),2)*32+MOD(INT(MOD(INT((D20)/16777216),256)/2^6),2)*MOD(INT(MOD(INT((E20)/16777216),256)/2^6),2)*64+MOD(INT(MOD(INT((D20)/16777216),256)/2^7),2)*MOD(INT(MOD(INT((E20)/16777216),256)/2^7),2)*128)*16777216)</f>
        <v>3633610926</v>
      </c>
      <c r="H21" s="36" t="n">
        <f aca="false">((MOD(INT(MOD(INT(((4294967295-D20))/1),256)/2^0),2)*MOD(INT(MOD(INT((F20)/1),256)/2^0),2)*1+MOD(INT(MOD(INT(((4294967295-D20))/1),256)/2^1),2)*MOD(INT(MOD(INT((F20)/1),256)/2^1),2)*2+MOD(INT(MOD(INT(((4294967295-D20))/1),256)/2^2),2)*MOD(INT(MOD(INT((F20)/1),256)/2^2),2)*4+MOD(INT(MOD(INT(((4294967295-D20))/1),256)/2^3),2)*MOD(INT(MOD(INT((F20)/1),256)/2^3),2)*8+MOD(INT(MOD(INT(((4294967295-D20))/1),256)/2^4),2)*MOD(INT(MOD(INT((F20)/1),256)/2^4),2)*16+MOD(INT(MOD(INT(((4294967295-D20))/1),256)/2^5),2)*MOD(INT(MOD(INT((F20)/1),256)/2^5),2)*32+MOD(INT(MOD(INT(((4294967295-D20))/1),256)/2^6),2)*MOD(INT(MOD(INT((F20)/1),256)/2^6),2)*64+MOD(INT(MOD(INT(((4294967295-D20))/1),256)/2^7),2)*MOD(INT(MOD(INT((F20)/1),256)/2^7),2)*128)*1+(MOD(INT(MOD(INT(((4294967295-D20))/256),256)/2^0),2)*MOD(INT(MOD(INT((F20)/256),256)/2^0),2)*1+MOD(INT(MOD(INT(((4294967295-D20))/256),256)/2^1),2)*MOD(INT(MOD(INT((F20)/256),256)/2^1),2)*2+MOD(INT(MOD(INT(((4294967295-D20))/256),256)/2^2),2)*MOD(INT(MOD(INT((F20)/256),256)/2^2),2)*4+MOD(INT(MOD(INT(((4294967295-D20))/256),256)/2^3),2)*MOD(INT(MOD(INT((F20)/256),256)/2^3),2)*8+MOD(INT(MOD(INT(((4294967295-D20))/256),256)/2^4),2)*MOD(INT(MOD(INT((F20)/256),256)/2^4),2)*16+MOD(INT(MOD(INT(((4294967295-D20))/256),256)/2^5),2)*MOD(INT(MOD(INT((F20)/256),256)/2^5),2)*32+MOD(INT(MOD(INT(((4294967295-D20))/256),256)/2^6),2)*MOD(INT(MOD(INT((F20)/256),256)/2^6),2)*64+MOD(INT(MOD(INT(((4294967295-D20))/256),256)/2^7),2)*MOD(INT(MOD(INT((F20)/256),256)/2^7),2)*128)*256+(MOD(INT(MOD(INT(((4294967295-D20))/65536),256)/2^0),2)*MOD(INT(MOD(INT((F20)/65536),256)/2^0),2)*1+MOD(INT(MOD(INT(((4294967295-D20))/65536),256)/2^1),2)*MOD(INT(MOD(INT((F20)/65536),256)/2^1),2)*2+MOD(INT(MOD(INT(((4294967295-D20))/65536),256)/2^2),2)*MOD(INT(MOD(INT((F20)/65536),256)/2^2),2)*4+MOD(INT(MOD(INT(((4294967295-D20))/65536),256)/2^3),2)*MOD(INT(MOD(INT((F20)/65536),256)/2^3),2)*8+MOD(INT(MOD(INT(((4294967295-D20))/65536),256)/2^4),2)*MOD(INT(MOD(INT((F20)/65536),256)/2^4),2)*16+MOD(INT(MOD(INT(((4294967295-D20))/65536),256)/2^5),2)*MOD(INT(MOD(INT((F20)/65536),256)/2^5),2)*32+MOD(INT(MOD(INT(((4294967295-D20))/65536),256)/2^6),2)*MOD(INT(MOD(INT((F20)/65536),256)/2^6),2)*64+MOD(INT(MOD(INT(((4294967295-D20))/65536),256)/2^7),2)*MOD(INT(MOD(INT((F20)/65536),256)/2^7),2)*128)*65536+(MOD(INT(MOD(INT(((4294967295-D20))/16777216),256)/2^0),2)*MOD(INT(MOD(INT((F20)/16777216),256)/2^0),2)*1+MOD(INT(MOD(INT(((4294967295-D20))/16777216),256)/2^1),2)*MOD(INT(MOD(INT((F20)/16777216),256)/2^1),2)*2+MOD(INT(MOD(INT(((4294967295-D20))/16777216),256)/2^2),2)*MOD(INT(MOD(INT((F20)/16777216),256)/2^2),2)*4+MOD(INT(MOD(INT(((4294967295-D20))/16777216),256)/2^3),2)*MOD(INT(MOD(INT((F20)/16777216),256)/2^3),2)*8+MOD(INT(MOD(INT(((4294967295-D20))/16777216),256)/2^4),2)*MOD(INT(MOD(INT((F20)/16777216),256)/2^4),2)*16+MOD(INT(MOD(INT(((4294967295-D20))/16777216),256)/2^5),2)*MOD(INT(MOD(INT((F20)/16777216),256)/2^5),2)*32+MOD(INT(MOD(INT(((4294967295-D20))/16777216),256)/2^6),2)*MOD(INT(MOD(INT((F20)/16777216),256)/2^6),2)*64+MOD(INT(MOD(INT(((4294967295-D20))/16777216),256)/2^7),2)*MOD(INT(MOD(INT((F20)/16777216),256)/2^7),2)*128)*16777216)</f>
        <v>84496448</v>
      </c>
      <c r="I21" s="37" t="s">
        <v>138</v>
      </c>
      <c r="J21" s="35" t="n">
        <f aca="false">MOD(G21+H21,4294967296)</f>
        <v>3718107374</v>
      </c>
      <c r="K21" s="36" t="n">
        <f aca="false">(0)+(0)*256+(0)*65536+(0)*16777216</f>
        <v>0</v>
      </c>
      <c r="L21" s="36" t="n">
        <f aca="false">'📦 MD5 Constants'!C19</f>
        <v>1236535329</v>
      </c>
      <c r="M21" s="36" t="n">
        <f aca="false">'📦 MD5 Constants'!H19</f>
        <v>22</v>
      </c>
      <c r="N21" s="36" t="n">
        <f aca="false">MOD(C20+J21+K21+'📦 MD5 Constants'!C19,4294967296)</f>
        <v>1958115190</v>
      </c>
      <c r="O21" s="36" t="n">
        <f aca="false">MOD(MOD(N21,2^10)*2^22+INT(N21/2^10),4294967296)</f>
        <v>3718065565</v>
      </c>
      <c r="P21" s="35" t="n">
        <f aca="false">D21</f>
        <v>3063134556</v>
      </c>
      <c r="Q21" s="34" t="s">
        <v>154</v>
      </c>
    </row>
    <row r="22" customFormat="false" ht="13.5" hidden="false" customHeight="true" outlineLevel="0" collapsed="false">
      <c r="B22" s="38" t="n">
        <v>17</v>
      </c>
      <c r="C22" s="39" t="n">
        <f aca="false">F21</f>
        <v>4287987886</v>
      </c>
      <c r="D22" s="39" t="n">
        <f aca="false">MOD(D21+O22,4294967296)</f>
        <v>4194637082</v>
      </c>
      <c r="E22" s="39" t="n">
        <f aca="false">D21</f>
        <v>3063134556</v>
      </c>
      <c r="F22" s="39" t="n">
        <f aca="false">E21</f>
        <v>3640036287</v>
      </c>
      <c r="G22" s="36" t="n">
        <f aca="false">((MOD(INT(MOD(INT((D21)/1),256)/2^0),2)*MOD(INT(MOD(INT((F21)/1),256)/2^0),2)*1+MOD(INT(MOD(INT((D21)/1),256)/2^1),2)*MOD(INT(MOD(INT((F21)/1),256)/2^1),2)*2+MOD(INT(MOD(INT((D21)/1),256)/2^2),2)*MOD(INT(MOD(INT((F21)/1),256)/2^2),2)*4+MOD(INT(MOD(INT((D21)/1),256)/2^3),2)*MOD(INT(MOD(INT((F21)/1),256)/2^3),2)*8+MOD(INT(MOD(INT((D21)/1),256)/2^4),2)*MOD(INT(MOD(INT((F21)/1),256)/2^4),2)*16+MOD(INT(MOD(INT((D21)/1),256)/2^5),2)*MOD(INT(MOD(INT((F21)/1),256)/2^5),2)*32+MOD(INT(MOD(INT((D21)/1),256)/2^6),2)*MOD(INT(MOD(INT((F21)/1),256)/2^6),2)*64+MOD(INT(MOD(INT((D21)/1),256)/2^7),2)*MOD(INT(MOD(INT((F21)/1),256)/2^7),2)*128)*1+(MOD(INT(MOD(INT((D21)/256),256)/2^0),2)*MOD(INT(MOD(INT((F21)/256),256)/2^0),2)*1+MOD(INT(MOD(INT((D21)/256),256)/2^1),2)*MOD(INT(MOD(INT((F21)/256),256)/2^1),2)*2+MOD(INT(MOD(INT((D21)/256),256)/2^2),2)*MOD(INT(MOD(INT((F21)/256),256)/2^2),2)*4+MOD(INT(MOD(INT((D21)/256),256)/2^3),2)*MOD(INT(MOD(INT((F21)/256),256)/2^3),2)*8+MOD(INT(MOD(INT((D21)/256),256)/2^4),2)*MOD(INT(MOD(INT((F21)/256),256)/2^4),2)*16+MOD(INT(MOD(INT((D21)/256),256)/2^5),2)*MOD(INT(MOD(INT((F21)/256),256)/2^5),2)*32+MOD(INT(MOD(INT((D21)/256),256)/2^6),2)*MOD(INT(MOD(INT((F21)/256),256)/2^6),2)*64+MOD(INT(MOD(INT((D21)/256),256)/2^7),2)*MOD(INT(MOD(INT((F21)/256),256)/2^7),2)*128)*256+(MOD(INT(MOD(INT((D21)/65536),256)/2^0),2)*MOD(INT(MOD(INT((F21)/65536),256)/2^0),2)*1+MOD(INT(MOD(INT((D21)/65536),256)/2^1),2)*MOD(INT(MOD(INT((F21)/65536),256)/2^1),2)*2+MOD(INT(MOD(INT((D21)/65536),256)/2^2),2)*MOD(INT(MOD(INT((F21)/65536),256)/2^2),2)*4+MOD(INT(MOD(INT((D21)/65536),256)/2^3),2)*MOD(INT(MOD(INT((F21)/65536),256)/2^3),2)*8+MOD(INT(MOD(INT((D21)/65536),256)/2^4),2)*MOD(INT(MOD(INT((F21)/65536),256)/2^4),2)*16+MOD(INT(MOD(INT((D21)/65536),256)/2^5),2)*MOD(INT(MOD(INT((F21)/65536),256)/2^5),2)*32+MOD(INT(MOD(INT((D21)/65536),256)/2^6),2)*MOD(INT(MOD(INT((F21)/65536),256)/2^6),2)*64+MOD(INT(MOD(INT((D21)/65536),256)/2^7),2)*MOD(INT(MOD(INT((F21)/65536),256)/2^7),2)*128)*65536+(MOD(INT(MOD(INT((D21)/16777216),256)/2^0),2)*MOD(INT(MOD(INT((F21)/16777216),256)/2^0),2)*1+MOD(INT(MOD(INT((D21)/16777216),256)/2^1),2)*MOD(INT(MOD(INT((F21)/16777216),256)/2^1),2)*2+MOD(INT(MOD(INT((D21)/16777216),256)/2^2),2)*MOD(INT(MOD(INT((F21)/16777216),256)/2^2),2)*4+MOD(INT(MOD(INT((D21)/16777216),256)/2^3),2)*MOD(INT(MOD(INT((F21)/16777216),256)/2^3),2)*8+MOD(INT(MOD(INT((D21)/16777216),256)/2^4),2)*MOD(INT(MOD(INT((F21)/16777216),256)/2^4),2)*16+MOD(INT(MOD(INT((D21)/16777216),256)/2^5),2)*MOD(INT(MOD(INT((F21)/16777216),256)/2^5),2)*32+MOD(INT(MOD(INT((D21)/16777216),256)/2^6),2)*MOD(INT(MOD(INT((F21)/16777216),256)/2^6),2)*64+MOD(INT(MOD(INT((D21)/16777216),256)/2^7),2)*MOD(INT(MOD(INT((F21)/16777216),256)/2^7),2)*128)*16777216)</f>
        <v>3062988812</v>
      </c>
      <c r="H22" s="36" t="n">
        <f aca="false">((MOD(INT(MOD(INT((E21)/1),256)/2^0),2)*MOD(INT(MOD(INT(((4294967295-F21))/1),256)/2^0),2)*1+MOD(INT(MOD(INT((E21)/1),256)/2^1),2)*MOD(INT(MOD(INT(((4294967295-F21))/1),256)/2^1),2)*2+MOD(INT(MOD(INT((E21)/1),256)/2^2),2)*MOD(INT(MOD(INT(((4294967295-F21))/1),256)/2^2),2)*4+MOD(INT(MOD(INT((E21)/1),256)/2^3),2)*MOD(INT(MOD(INT(((4294967295-F21))/1),256)/2^3),2)*8+MOD(INT(MOD(INT((E21)/1),256)/2^4),2)*MOD(INT(MOD(INT(((4294967295-F21))/1),256)/2^4),2)*16+MOD(INT(MOD(INT((E21)/1),256)/2^5),2)*MOD(INT(MOD(INT(((4294967295-F21))/1),256)/2^5),2)*32+MOD(INT(MOD(INT((E21)/1),256)/2^6),2)*MOD(INT(MOD(INT(((4294967295-F21))/1),256)/2^6),2)*64+MOD(INT(MOD(INT((E21)/1),256)/2^7),2)*MOD(INT(MOD(INT(((4294967295-F21))/1),256)/2^7),2)*128)*1+(MOD(INT(MOD(INT((E21)/256),256)/2^0),2)*MOD(INT(MOD(INT(((4294967295-F21))/256),256)/2^0),2)*1+MOD(INT(MOD(INT((E21)/256),256)/2^1),2)*MOD(INT(MOD(INT(((4294967295-F21))/256),256)/2^1),2)*2+MOD(INT(MOD(INT((E21)/256),256)/2^2),2)*MOD(INT(MOD(INT(((4294967295-F21))/256),256)/2^2),2)*4+MOD(INT(MOD(INT((E21)/256),256)/2^3),2)*MOD(INT(MOD(INT(((4294967295-F21))/256),256)/2^3),2)*8+MOD(INT(MOD(INT((E21)/256),256)/2^4),2)*MOD(INT(MOD(INT(((4294967295-F21))/256),256)/2^4),2)*16+MOD(INT(MOD(INT((E21)/256),256)/2^5),2)*MOD(INT(MOD(INT(((4294967295-F21))/256),256)/2^5),2)*32+MOD(INT(MOD(INT((E21)/256),256)/2^6),2)*MOD(INT(MOD(INT(((4294967295-F21))/256),256)/2^6),2)*64+MOD(INT(MOD(INT((E21)/256),256)/2^7),2)*MOD(INT(MOD(INT(((4294967295-F21))/256),256)/2^7),2)*128)*256+(MOD(INT(MOD(INT((E21)/65536),256)/2^0),2)*MOD(INT(MOD(INT(((4294967295-F21))/65536),256)/2^0),2)*1+MOD(INT(MOD(INT((E21)/65536),256)/2^1),2)*MOD(INT(MOD(INT(((4294967295-F21))/65536),256)/2^1),2)*2+MOD(INT(MOD(INT((E21)/65536),256)/2^2),2)*MOD(INT(MOD(INT(((4294967295-F21))/65536),256)/2^2),2)*4+MOD(INT(MOD(INT((E21)/65536),256)/2^3),2)*MOD(INT(MOD(INT(((4294967295-F21))/65536),256)/2^3),2)*8+MOD(INT(MOD(INT((E21)/65536),256)/2^4),2)*MOD(INT(MOD(INT(((4294967295-F21))/65536),256)/2^4),2)*16+MOD(INT(MOD(INT((E21)/65536),256)/2^5),2)*MOD(INT(MOD(INT(((4294967295-F21))/65536),256)/2^5),2)*32+MOD(INT(MOD(INT((E21)/65536),256)/2^6),2)*MOD(INT(MOD(INT(((4294967295-F21))/65536),256)/2^6),2)*64+MOD(INT(MOD(INT((E21)/65536),256)/2^7),2)*MOD(INT(MOD(INT(((4294967295-F21))/65536),256)/2^7),2)*128)*65536+(MOD(INT(MOD(INT((E21)/16777216),256)/2^0),2)*MOD(INT(MOD(INT(((4294967295-F21))/16777216),256)/2^0),2)*1+MOD(INT(MOD(INT((E21)/16777216),256)/2^1),2)*MOD(INT(MOD(INT(((4294967295-F21))/16777216),256)/2^1),2)*2+MOD(INT(MOD(INT((E21)/16777216),256)/2^2),2)*MOD(INT(MOD(INT(((4294967295-F21))/16777216),256)/2^2),2)*4+MOD(INT(MOD(INT((E21)/16777216),256)/2^3),2)*MOD(INT(MOD(INT(((4294967295-F21))/16777216),256)/2^3),2)*8+MOD(INT(MOD(INT((E21)/16777216),256)/2^4),2)*MOD(INT(MOD(INT(((4294967295-F21))/16777216),256)/2^4),2)*16+MOD(INT(MOD(INT((E21)/16777216),256)/2^5),2)*MOD(INT(MOD(INT(((4294967295-F21))/16777216),256)/2^5),2)*32+MOD(INT(MOD(INT((E21)/16777216),256)/2^6),2)*MOD(INT(MOD(INT(((4294967295-F21))/16777216),256)/2^6),2)*64+MOD(INT(MOD(INT((E21)/16777216),256)/2^7),2)*MOD(INT(MOD(INT(((4294967295-F21))/16777216),256)/2^7),2)*128)*16777216)</f>
        <v>6425361</v>
      </c>
      <c r="I22" s="37" t="s">
        <v>138</v>
      </c>
      <c r="J22" s="39" t="n">
        <f aca="false">MOD(G22+H22,4294967296)</f>
        <v>3069414173</v>
      </c>
      <c r="K22" s="36" t="n">
        <f aca="false">(IF(LEN('🔐 MD5'!B5)&gt;4,CODE(MID('🔐 MD5'!B5,5,1)),IF(LEN('🔐 MD5'!B5)=4,128,0)))+(IF(LEN('🔐 MD5'!B5)&gt;5,CODE(MID('🔐 MD5'!B5,6,1)),IF(LEN('🔐 MD5'!B5)=5,128,0)))*256+(IF(LEN('🔐 MD5'!B5)&gt;6,CODE(MID('🔐 MD5'!B5,7,1)),IF(LEN('🔐 MD5'!B5)=6,128,0)))*65536+(IF(LEN('🔐 MD5'!B5)=7,128,0))*16777216</f>
        <v>32879</v>
      </c>
      <c r="L22" s="36" t="n">
        <f aca="false">'📦 MD5 Constants'!C20</f>
        <v>4129170786</v>
      </c>
      <c r="M22" s="36" t="n">
        <f aca="false">'📦 MD5 Constants'!H20</f>
        <v>5</v>
      </c>
      <c r="N22" s="36" t="n">
        <f aca="false">MOD(C21+J22+K22+'📦 MD5 Constants'!C20,4294967296)</f>
        <v>4061891293</v>
      </c>
      <c r="O22" s="36" t="n">
        <f aca="false">MOD(MOD(N22,2^27)*2^5+INT(N22/2^27),4294967296)</f>
        <v>1131502526</v>
      </c>
      <c r="P22" s="39" t="n">
        <f aca="false">D22</f>
        <v>4194637082</v>
      </c>
      <c r="Q22" s="34" t="s">
        <v>155</v>
      </c>
    </row>
    <row r="23" customFormat="false" ht="13.5" hidden="false" customHeight="true" outlineLevel="0" collapsed="false">
      <c r="B23" s="38" t="n">
        <v>18</v>
      </c>
      <c r="C23" s="39" t="n">
        <f aca="false">F22</f>
        <v>3640036287</v>
      </c>
      <c r="D23" s="39" t="n">
        <f aca="false">MOD(D22+O23,4294967296)</f>
        <v>2966398613</v>
      </c>
      <c r="E23" s="39" t="n">
        <f aca="false">D22</f>
        <v>4194637082</v>
      </c>
      <c r="F23" s="39" t="n">
        <f aca="false">E22</f>
        <v>3063134556</v>
      </c>
      <c r="G23" s="36" t="n">
        <f aca="false">((MOD(INT(MOD(INT((D22)/1),256)/2^0),2)*MOD(INT(MOD(INT((F22)/1),256)/2^0),2)*1+MOD(INT(MOD(INT((D22)/1),256)/2^1),2)*MOD(INT(MOD(INT((F22)/1),256)/2^1),2)*2+MOD(INT(MOD(INT((D22)/1),256)/2^2),2)*MOD(INT(MOD(INT((F22)/1),256)/2^2),2)*4+MOD(INT(MOD(INT((D22)/1),256)/2^3),2)*MOD(INT(MOD(INT((F22)/1),256)/2^3),2)*8+MOD(INT(MOD(INT((D22)/1),256)/2^4),2)*MOD(INT(MOD(INT((F22)/1),256)/2^4),2)*16+MOD(INT(MOD(INT((D22)/1),256)/2^5),2)*MOD(INT(MOD(INT((F22)/1),256)/2^5),2)*32+MOD(INT(MOD(INT((D22)/1),256)/2^6),2)*MOD(INT(MOD(INT((F22)/1),256)/2^6),2)*64+MOD(INT(MOD(INT((D22)/1),256)/2^7),2)*MOD(INT(MOD(INT((F22)/1),256)/2^7),2)*128)*1+(MOD(INT(MOD(INT((D22)/256),256)/2^0),2)*MOD(INT(MOD(INT((F22)/256),256)/2^0),2)*1+MOD(INT(MOD(INT((D22)/256),256)/2^1),2)*MOD(INT(MOD(INT((F22)/256),256)/2^1),2)*2+MOD(INT(MOD(INT((D22)/256),256)/2^2),2)*MOD(INT(MOD(INT((F22)/256),256)/2^2),2)*4+MOD(INT(MOD(INT((D22)/256),256)/2^3),2)*MOD(INT(MOD(INT((F22)/256),256)/2^3),2)*8+MOD(INT(MOD(INT((D22)/256),256)/2^4),2)*MOD(INT(MOD(INT((F22)/256),256)/2^4),2)*16+MOD(INT(MOD(INT((D22)/256),256)/2^5),2)*MOD(INT(MOD(INT((F22)/256),256)/2^5),2)*32+MOD(INT(MOD(INT((D22)/256),256)/2^6),2)*MOD(INT(MOD(INT((F22)/256),256)/2^6),2)*64+MOD(INT(MOD(INT((D22)/256),256)/2^7),2)*MOD(INT(MOD(INT((F22)/256),256)/2^7),2)*128)*256+(MOD(INT(MOD(INT((D22)/65536),256)/2^0),2)*MOD(INT(MOD(INT((F22)/65536),256)/2^0),2)*1+MOD(INT(MOD(INT((D22)/65536),256)/2^1),2)*MOD(INT(MOD(INT((F22)/65536),256)/2^1),2)*2+MOD(INT(MOD(INT((D22)/65536),256)/2^2),2)*MOD(INT(MOD(INT((F22)/65536),256)/2^2),2)*4+MOD(INT(MOD(INT((D22)/65536),256)/2^3),2)*MOD(INT(MOD(INT((F22)/65536),256)/2^3),2)*8+MOD(INT(MOD(INT((D22)/65536),256)/2^4),2)*MOD(INT(MOD(INT((F22)/65536),256)/2^4),2)*16+MOD(INT(MOD(INT((D22)/65536),256)/2^5),2)*MOD(INT(MOD(INT((F22)/65536),256)/2^5),2)*32+MOD(INT(MOD(INT((D22)/65536),256)/2^6),2)*MOD(INT(MOD(INT((F22)/65536),256)/2^6),2)*64+MOD(INT(MOD(INT((D22)/65536),256)/2^7),2)*MOD(INT(MOD(INT((F22)/65536),256)/2^7),2)*128)*65536+(MOD(INT(MOD(INT((D22)/16777216),256)/2^0),2)*MOD(INT(MOD(INT((F22)/16777216),256)/2^0),2)*1+MOD(INT(MOD(INT((D22)/16777216),256)/2^1),2)*MOD(INT(MOD(INT((F22)/16777216),256)/2^1),2)*2+MOD(INT(MOD(INT((D22)/16777216),256)/2^2),2)*MOD(INT(MOD(INT((F22)/16777216),256)/2^2),2)*4+MOD(INT(MOD(INT((D22)/16777216),256)/2^3),2)*MOD(INT(MOD(INT((F22)/16777216),256)/2^3),2)*8+MOD(INT(MOD(INT((D22)/16777216),256)/2^4),2)*MOD(INT(MOD(INT((F22)/16777216),256)/2^4),2)*16+MOD(INT(MOD(INT((D22)/16777216),256)/2^5),2)*MOD(INT(MOD(INT((F22)/16777216),256)/2^5),2)*32+MOD(INT(MOD(INT((D22)/16777216),256)/2^6),2)*MOD(INT(MOD(INT((F22)/16777216),256)/2^6),2)*64+MOD(INT(MOD(INT((D22)/16777216),256)/2^7),2)*MOD(INT(MOD(INT((F22)/16777216),256)/2^7),2)*128)*16777216)</f>
        <v>3624141082</v>
      </c>
      <c r="H23" s="36" t="n">
        <f aca="false">((MOD(INT(MOD(INT((E22)/1),256)/2^0),2)*MOD(INT(MOD(INT(((4294967295-F22))/1),256)/2^0),2)*1+MOD(INT(MOD(INT((E22)/1),256)/2^1),2)*MOD(INT(MOD(INT(((4294967295-F22))/1),256)/2^1),2)*2+MOD(INT(MOD(INT((E22)/1),256)/2^2),2)*MOD(INT(MOD(INT(((4294967295-F22))/1),256)/2^2),2)*4+MOD(INT(MOD(INT((E22)/1),256)/2^3),2)*MOD(INT(MOD(INT(((4294967295-F22))/1),256)/2^3),2)*8+MOD(INT(MOD(INT((E22)/1),256)/2^4),2)*MOD(INT(MOD(INT(((4294967295-F22))/1),256)/2^4),2)*16+MOD(INT(MOD(INT((E22)/1),256)/2^5),2)*MOD(INT(MOD(INT(((4294967295-F22))/1),256)/2^5),2)*32+MOD(INT(MOD(INT((E22)/1),256)/2^6),2)*MOD(INT(MOD(INT(((4294967295-F22))/1),256)/2^6),2)*64+MOD(INT(MOD(INT((E22)/1),256)/2^7),2)*MOD(INT(MOD(INT(((4294967295-F22))/1),256)/2^7),2)*128)*1+(MOD(INT(MOD(INT((E22)/256),256)/2^0),2)*MOD(INT(MOD(INT(((4294967295-F22))/256),256)/2^0),2)*1+MOD(INT(MOD(INT((E22)/256),256)/2^1),2)*MOD(INT(MOD(INT(((4294967295-F22))/256),256)/2^1),2)*2+MOD(INT(MOD(INT((E22)/256),256)/2^2),2)*MOD(INT(MOD(INT(((4294967295-F22))/256),256)/2^2),2)*4+MOD(INT(MOD(INT((E22)/256),256)/2^3),2)*MOD(INT(MOD(INT(((4294967295-F22))/256),256)/2^3),2)*8+MOD(INT(MOD(INT((E22)/256),256)/2^4),2)*MOD(INT(MOD(INT(((4294967295-F22))/256),256)/2^4),2)*16+MOD(INT(MOD(INT((E22)/256),256)/2^5),2)*MOD(INT(MOD(INT(((4294967295-F22))/256),256)/2^5),2)*32+MOD(INT(MOD(INT((E22)/256),256)/2^6),2)*MOD(INT(MOD(INT(((4294967295-F22))/256),256)/2^6),2)*64+MOD(INT(MOD(INT((E22)/256),256)/2^7),2)*MOD(INT(MOD(INT(((4294967295-F22))/256),256)/2^7),2)*128)*256+(MOD(INT(MOD(INT((E22)/65536),256)/2^0),2)*MOD(INT(MOD(INT(((4294967295-F22))/65536),256)/2^0),2)*1+MOD(INT(MOD(INT((E22)/65536),256)/2^1),2)*MOD(INT(MOD(INT(((4294967295-F22))/65536),256)/2^1),2)*2+MOD(INT(MOD(INT((E22)/65536),256)/2^2),2)*MOD(INT(MOD(INT(((4294967295-F22))/65536),256)/2^2),2)*4+MOD(INT(MOD(INT((E22)/65536),256)/2^3),2)*MOD(INT(MOD(INT(((4294967295-F22))/65536),256)/2^3),2)*8+MOD(INT(MOD(INT((E22)/65536),256)/2^4),2)*MOD(INT(MOD(INT(((4294967295-F22))/65536),256)/2^4),2)*16+MOD(INT(MOD(INT((E22)/65536),256)/2^5),2)*MOD(INT(MOD(INT(((4294967295-F22))/65536),256)/2^5),2)*32+MOD(INT(MOD(INT((E22)/65536),256)/2^6),2)*MOD(INT(MOD(INT(((4294967295-F22))/65536),256)/2^6),2)*64+MOD(INT(MOD(INT((E22)/65536),256)/2^7),2)*MOD(INT(MOD(INT(((4294967295-F22))/65536),256)/2^7),2)*128)*65536+(MOD(INT(MOD(INT((E22)/16777216),256)/2^0),2)*MOD(INT(MOD(INT(((4294967295-F22))/16777216),256)/2^0),2)*1+MOD(INT(MOD(INT((E22)/16777216),256)/2^1),2)*MOD(INT(MOD(INT(((4294967295-F22))/16777216),256)/2^1),2)*2+MOD(INT(MOD(INT((E22)/16777216),256)/2^2),2)*MOD(INT(MOD(INT(((4294967295-F22))/16777216),256)/2^2),2)*4+MOD(INT(MOD(INT((E22)/16777216),256)/2^3),2)*MOD(INT(MOD(INT(((4294967295-F22))/16777216),256)/2^3),2)*8+MOD(INT(MOD(INT((E22)/16777216),256)/2^4),2)*MOD(INT(MOD(INT(((4294967295-F22))/16777216),256)/2^4),2)*16+MOD(INT(MOD(INT((E22)/16777216),256)/2^5),2)*MOD(INT(MOD(INT(((4294967295-F22))/16777216),256)/2^5),2)*32+MOD(INT(MOD(INT((E22)/16777216),256)/2^6),2)*MOD(INT(MOD(INT(((4294967295-F22))/16777216),256)/2^6),2)*64+MOD(INT(MOD(INT((E22)/16777216),256)/2^7),2)*MOD(INT(MOD(INT(((4294967295-F22))/16777216),256)/2^7),2)*128)*16777216)</f>
        <v>637612096</v>
      </c>
      <c r="I23" s="37" t="s">
        <v>138</v>
      </c>
      <c r="J23" s="39" t="n">
        <f aca="false">MOD(G23+H23,4294967296)</f>
        <v>4261753178</v>
      </c>
      <c r="K23" s="36" t="n">
        <f aca="false">(0)+(0)*256+(0)*65536+(0)*16777216</f>
        <v>0</v>
      </c>
      <c r="L23" s="36" t="n">
        <f aca="false">'📦 MD5 Constants'!C21</f>
        <v>3225465664</v>
      </c>
      <c r="M23" s="36" t="n">
        <f aca="false">'📦 MD5 Constants'!H21</f>
        <v>9</v>
      </c>
      <c r="N23" s="36" t="n">
        <f aca="false">MOD(C22+J23+K23+'📦 MD5 Constants'!C21,4294967296)</f>
        <v>3185272136</v>
      </c>
      <c r="O23" s="36" t="n">
        <f aca="false">MOD(MOD(N23,2^23)*2^9+INT(N23/2^23),4294967296)</f>
        <v>3066728827</v>
      </c>
      <c r="P23" s="39" t="n">
        <f aca="false">D23</f>
        <v>2966398613</v>
      </c>
      <c r="Q23" s="34" t="s">
        <v>156</v>
      </c>
    </row>
    <row r="24" customFormat="false" ht="13.5" hidden="false" customHeight="true" outlineLevel="0" collapsed="false">
      <c r="B24" s="38" t="n">
        <v>19</v>
      </c>
      <c r="C24" s="39" t="n">
        <f aca="false">F23</f>
        <v>3063134556</v>
      </c>
      <c r="D24" s="39" t="n">
        <f aca="false">MOD(D23+O24,4294967296)</f>
        <v>3545851020</v>
      </c>
      <c r="E24" s="39" t="n">
        <f aca="false">D23</f>
        <v>2966398613</v>
      </c>
      <c r="F24" s="39" t="n">
        <f aca="false">E23</f>
        <v>4194637082</v>
      </c>
      <c r="G24" s="36" t="n">
        <f aca="false">((MOD(INT(MOD(INT((D23)/1),256)/2^0),2)*MOD(INT(MOD(INT((F23)/1),256)/2^0),2)*1+MOD(INT(MOD(INT((D23)/1),256)/2^1),2)*MOD(INT(MOD(INT((F23)/1),256)/2^1),2)*2+MOD(INT(MOD(INT((D23)/1),256)/2^2),2)*MOD(INT(MOD(INT((F23)/1),256)/2^2),2)*4+MOD(INT(MOD(INT((D23)/1),256)/2^3),2)*MOD(INT(MOD(INT((F23)/1),256)/2^3),2)*8+MOD(INT(MOD(INT((D23)/1),256)/2^4),2)*MOD(INT(MOD(INT((F23)/1),256)/2^4),2)*16+MOD(INT(MOD(INT((D23)/1),256)/2^5),2)*MOD(INT(MOD(INT((F23)/1),256)/2^5),2)*32+MOD(INT(MOD(INT((D23)/1),256)/2^6),2)*MOD(INT(MOD(INT((F23)/1),256)/2^6),2)*64+MOD(INT(MOD(INT((D23)/1),256)/2^7),2)*MOD(INT(MOD(INT((F23)/1),256)/2^7),2)*128)*1+(MOD(INT(MOD(INT((D23)/256),256)/2^0),2)*MOD(INT(MOD(INT((F23)/256),256)/2^0),2)*1+MOD(INT(MOD(INT((D23)/256),256)/2^1),2)*MOD(INT(MOD(INT((F23)/256),256)/2^1),2)*2+MOD(INT(MOD(INT((D23)/256),256)/2^2),2)*MOD(INT(MOD(INT((F23)/256),256)/2^2),2)*4+MOD(INT(MOD(INT((D23)/256),256)/2^3),2)*MOD(INT(MOD(INT((F23)/256),256)/2^3),2)*8+MOD(INT(MOD(INT((D23)/256),256)/2^4),2)*MOD(INT(MOD(INT((F23)/256),256)/2^4),2)*16+MOD(INT(MOD(INT((D23)/256),256)/2^5),2)*MOD(INT(MOD(INT((F23)/256),256)/2^5),2)*32+MOD(INT(MOD(INT((D23)/256),256)/2^6),2)*MOD(INT(MOD(INT((F23)/256),256)/2^6),2)*64+MOD(INT(MOD(INT((D23)/256),256)/2^7),2)*MOD(INT(MOD(INT((F23)/256),256)/2^7),2)*128)*256+(MOD(INT(MOD(INT((D23)/65536),256)/2^0),2)*MOD(INT(MOD(INT((F23)/65536),256)/2^0),2)*1+MOD(INT(MOD(INT((D23)/65536),256)/2^1),2)*MOD(INT(MOD(INT((F23)/65536),256)/2^1),2)*2+MOD(INT(MOD(INT((D23)/65536),256)/2^2),2)*MOD(INT(MOD(INT((F23)/65536),256)/2^2),2)*4+MOD(INT(MOD(INT((D23)/65536),256)/2^3),2)*MOD(INT(MOD(INT((F23)/65536),256)/2^3),2)*8+MOD(INT(MOD(INT((D23)/65536),256)/2^4),2)*MOD(INT(MOD(INT((F23)/65536),256)/2^4),2)*16+MOD(INT(MOD(INT((D23)/65536),256)/2^5),2)*MOD(INT(MOD(INT((F23)/65536),256)/2^5),2)*32+MOD(INT(MOD(INT((D23)/65536),256)/2^6),2)*MOD(INT(MOD(INT((F23)/65536),256)/2^6),2)*64+MOD(INT(MOD(INT((D23)/65536),256)/2^7),2)*MOD(INT(MOD(INT((F23)/65536),256)/2^7),2)*128)*65536+(MOD(INT(MOD(INT((D23)/16777216),256)/2^0),2)*MOD(INT(MOD(INT((F23)/16777216),256)/2^0),2)*1+MOD(INT(MOD(INT((D23)/16777216),256)/2^1),2)*MOD(INT(MOD(INT((F23)/16777216),256)/2^1),2)*2+MOD(INT(MOD(INT((D23)/16777216),256)/2^2),2)*MOD(INT(MOD(INT((F23)/16777216),256)/2^2),2)*4+MOD(INT(MOD(INT((D23)/16777216),256)/2^3),2)*MOD(INT(MOD(INT((F23)/16777216),256)/2^3),2)*8+MOD(INT(MOD(INT((D23)/16777216),256)/2^4),2)*MOD(INT(MOD(INT((F23)/16777216),256)/2^4),2)*16+MOD(INT(MOD(INT((D23)/16777216),256)/2^5),2)*MOD(INT(MOD(INT((F23)/16777216),256)/2^5),2)*32+MOD(INT(MOD(INT((D23)/16777216),256)/2^6),2)*MOD(INT(MOD(INT((F23)/16777216),256)/2^6),2)*64+MOD(INT(MOD(INT((D23)/16777216),256)/2^7),2)*MOD(INT(MOD(INT((F23)/16777216),256)/2^7),2)*128)*16777216)</f>
        <v>2961416212</v>
      </c>
      <c r="H24" s="36" t="n">
        <f aca="false">((MOD(INT(MOD(INT((E23)/1),256)/2^0),2)*MOD(INT(MOD(INT(((4294967295-F23))/1),256)/2^0),2)*1+MOD(INT(MOD(INT((E23)/1),256)/2^1),2)*MOD(INT(MOD(INT(((4294967295-F23))/1),256)/2^1),2)*2+MOD(INT(MOD(INT((E23)/1),256)/2^2),2)*MOD(INT(MOD(INT(((4294967295-F23))/1),256)/2^2),2)*4+MOD(INT(MOD(INT((E23)/1),256)/2^3),2)*MOD(INT(MOD(INT(((4294967295-F23))/1),256)/2^3),2)*8+MOD(INT(MOD(INT((E23)/1),256)/2^4),2)*MOD(INT(MOD(INT(((4294967295-F23))/1),256)/2^4),2)*16+MOD(INT(MOD(INT((E23)/1),256)/2^5),2)*MOD(INT(MOD(INT(((4294967295-F23))/1),256)/2^5),2)*32+MOD(INT(MOD(INT((E23)/1),256)/2^6),2)*MOD(INT(MOD(INT(((4294967295-F23))/1),256)/2^6),2)*64+MOD(INT(MOD(INT((E23)/1),256)/2^7),2)*MOD(INT(MOD(INT(((4294967295-F23))/1),256)/2^7),2)*128)*1+(MOD(INT(MOD(INT((E23)/256),256)/2^0),2)*MOD(INT(MOD(INT(((4294967295-F23))/256),256)/2^0),2)*1+MOD(INT(MOD(INT((E23)/256),256)/2^1),2)*MOD(INT(MOD(INT(((4294967295-F23))/256),256)/2^1),2)*2+MOD(INT(MOD(INT((E23)/256),256)/2^2),2)*MOD(INT(MOD(INT(((4294967295-F23))/256),256)/2^2),2)*4+MOD(INT(MOD(INT((E23)/256),256)/2^3),2)*MOD(INT(MOD(INT(((4294967295-F23))/256),256)/2^3),2)*8+MOD(INT(MOD(INT((E23)/256),256)/2^4),2)*MOD(INT(MOD(INT(((4294967295-F23))/256),256)/2^4),2)*16+MOD(INT(MOD(INT((E23)/256),256)/2^5),2)*MOD(INT(MOD(INT(((4294967295-F23))/256),256)/2^5),2)*32+MOD(INT(MOD(INT((E23)/256),256)/2^6),2)*MOD(INT(MOD(INT(((4294967295-F23))/256),256)/2^6),2)*64+MOD(INT(MOD(INT((E23)/256),256)/2^7),2)*MOD(INT(MOD(INT(((4294967295-F23))/256),256)/2^7),2)*128)*256+(MOD(INT(MOD(INT((E23)/65536),256)/2^0),2)*MOD(INT(MOD(INT(((4294967295-F23))/65536),256)/2^0),2)*1+MOD(INT(MOD(INT((E23)/65536),256)/2^1),2)*MOD(INT(MOD(INT(((4294967295-F23))/65536),256)/2^1),2)*2+MOD(INT(MOD(INT((E23)/65536),256)/2^2),2)*MOD(INT(MOD(INT(((4294967295-F23))/65536),256)/2^2),2)*4+MOD(INT(MOD(INT((E23)/65536),256)/2^3),2)*MOD(INT(MOD(INT(((4294967295-F23))/65536),256)/2^3),2)*8+MOD(INT(MOD(INT((E23)/65536),256)/2^4),2)*MOD(INT(MOD(INT(((4294967295-F23))/65536),256)/2^4),2)*16+MOD(INT(MOD(INT((E23)/65536),256)/2^5),2)*MOD(INT(MOD(INT(((4294967295-F23))/65536),256)/2^5),2)*32+MOD(INT(MOD(INT((E23)/65536),256)/2^6),2)*MOD(INT(MOD(INT(((4294967295-F23))/65536),256)/2^6),2)*64+MOD(INT(MOD(INT((E23)/65536),256)/2^7),2)*MOD(INT(MOD(INT(((4294967295-F23))/65536),256)/2^7),2)*128)*65536+(MOD(INT(MOD(INT((E23)/16777216),256)/2^0),2)*MOD(INT(MOD(INT(((4294967295-F23))/16777216),256)/2^0),2)*1+MOD(INT(MOD(INT((E23)/16777216),256)/2^1),2)*MOD(INT(MOD(INT(((4294967295-F23))/16777216),256)/2^1),2)*2+MOD(INT(MOD(INT((E23)/16777216),256)/2^2),2)*MOD(INT(MOD(INT(((4294967295-F23))/16777216),256)/2^2),2)*4+MOD(INT(MOD(INT((E23)/16777216),256)/2^3),2)*MOD(INT(MOD(INT(((4294967295-F23))/16777216),256)/2^3),2)*8+MOD(INT(MOD(INT((E23)/16777216),256)/2^4),2)*MOD(INT(MOD(INT(((4294967295-F23))/16777216),256)/2^4),2)*16+MOD(INT(MOD(INT((E23)/16777216),256)/2^5),2)*MOD(INT(MOD(INT(((4294967295-F23))/16777216),256)/2^5),2)*32+MOD(INT(MOD(INT((E23)/16777216),256)/2^6),2)*MOD(INT(MOD(INT(((4294967295-F23))/16777216),256)/2^6),2)*64+MOD(INT(MOD(INT((E23)/16777216),256)/2^7),2)*MOD(INT(MOD(INT(((4294967295-F23))/16777216),256)/2^7),2)*128)*16777216)</f>
        <v>1208222722</v>
      </c>
      <c r="I24" s="37" t="s">
        <v>138</v>
      </c>
      <c r="J24" s="39" t="n">
        <f aca="false">MOD(G24+H24,4294967296)</f>
        <v>4169638934</v>
      </c>
      <c r="K24" s="36" t="n">
        <f aca="false">(0)+(0)*256+(0)*65536+(0)*16777216</f>
        <v>0</v>
      </c>
      <c r="L24" s="36" t="n">
        <f aca="false">'📦 MD5 Constants'!C22</f>
        <v>643717713</v>
      </c>
      <c r="M24" s="36" t="n">
        <f aca="false">'📦 MD5 Constants'!H22</f>
        <v>14</v>
      </c>
      <c r="N24" s="36" t="n">
        <f aca="false">MOD(C23+J24+K24+'📦 MD5 Constants'!C22,4294967296)</f>
        <v>4158425638</v>
      </c>
      <c r="O24" s="36" t="n">
        <f aca="false">MOD(MOD(N24,2^18)*2^14+INT(N24/2^18),4294967296)</f>
        <v>579452407</v>
      </c>
      <c r="P24" s="39" t="n">
        <f aca="false">D24</f>
        <v>3545851020</v>
      </c>
      <c r="Q24" s="34" t="s">
        <v>157</v>
      </c>
    </row>
    <row r="25" customFormat="false" ht="13.5" hidden="false" customHeight="true" outlineLevel="0" collapsed="false">
      <c r="B25" s="38" t="n">
        <v>20</v>
      </c>
      <c r="C25" s="39" t="n">
        <f aca="false">F24</f>
        <v>4194637082</v>
      </c>
      <c r="D25" s="39" t="n">
        <f aca="false">MOD(D24+O25,4294967296)</f>
        <v>2736217268</v>
      </c>
      <c r="E25" s="39" t="n">
        <f aca="false">D24</f>
        <v>3545851020</v>
      </c>
      <c r="F25" s="39" t="n">
        <f aca="false">E24</f>
        <v>2966398613</v>
      </c>
      <c r="G25" s="36" t="n">
        <f aca="false">((MOD(INT(MOD(INT((D24)/1),256)/2^0),2)*MOD(INT(MOD(INT((F24)/1),256)/2^0),2)*1+MOD(INT(MOD(INT((D24)/1),256)/2^1),2)*MOD(INT(MOD(INT((F24)/1),256)/2^1),2)*2+MOD(INT(MOD(INT((D24)/1),256)/2^2),2)*MOD(INT(MOD(INT((F24)/1),256)/2^2),2)*4+MOD(INT(MOD(INT((D24)/1),256)/2^3),2)*MOD(INT(MOD(INT((F24)/1),256)/2^3),2)*8+MOD(INT(MOD(INT((D24)/1),256)/2^4),2)*MOD(INT(MOD(INT((F24)/1),256)/2^4),2)*16+MOD(INT(MOD(INT((D24)/1),256)/2^5),2)*MOD(INT(MOD(INT((F24)/1),256)/2^5),2)*32+MOD(INT(MOD(INT((D24)/1),256)/2^6),2)*MOD(INT(MOD(INT((F24)/1),256)/2^6),2)*64+MOD(INT(MOD(INT((D24)/1),256)/2^7),2)*MOD(INT(MOD(INT((F24)/1),256)/2^7),2)*128)*1+(MOD(INT(MOD(INT((D24)/256),256)/2^0),2)*MOD(INT(MOD(INT((F24)/256),256)/2^0),2)*1+MOD(INT(MOD(INT((D24)/256),256)/2^1),2)*MOD(INT(MOD(INT((F24)/256),256)/2^1),2)*2+MOD(INT(MOD(INT((D24)/256),256)/2^2),2)*MOD(INT(MOD(INT((F24)/256),256)/2^2),2)*4+MOD(INT(MOD(INT((D24)/256),256)/2^3),2)*MOD(INT(MOD(INT((F24)/256),256)/2^3),2)*8+MOD(INT(MOD(INT((D24)/256),256)/2^4),2)*MOD(INT(MOD(INT((F24)/256),256)/2^4),2)*16+MOD(INT(MOD(INT((D24)/256),256)/2^5),2)*MOD(INT(MOD(INT((F24)/256),256)/2^5),2)*32+MOD(INT(MOD(INT((D24)/256),256)/2^6),2)*MOD(INT(MOD(INT((F24)/256),256)/2^6),2)*64+MOD(INT(MOD(INT((D24)/256),256)/2^7),2)*MOD(INT(MOD(INT((F24)/256),256)/2^7),2)*128)*256+(MOD(INT(MOD(INT((D24)/65536),256)/2^0),2)*MOD(INT(MOD(INT((F24)/65536),256)/2^0),2)*1+MOD(INT(MOD(INT((D24)/65536),256)/2^1),2)*MOD(INT(MOD(INT((F24)/65536),256)/2^1),2)*2+MOD(INT(MOD(INT((D24)/65536),256)/2^2),2)*MOD(INT(MOD(INT((F24)/65536),256)/2^2),2)*4+MOD(INT(MOD(INT((D24)/65536),256)/2^3),2)*MOD(INT(MOD(INT((F24)/65536),256)/2^3),2)*8+MOD(INT(MOD(INT((D24)/65536),256)/2^4),2)*MOD(INT(MOD(INT((F24)/65536),256)/2^4),2)*16+MOD(INT(MOD(INT((D24)/65536),256)/2^5),2)*MOD(INT(MOD(INT((F24)/65536),256)/2^5),2)*32+MOD(INT(MOD(INT((D24)/65536),256)/2^6),2)*MOD(INT(MOD(INT((F24)/65536),256)/2^6),2)*64+MOD(INT(MOD(INT((D24)/65536),256)/2^7),2)*MOD(INT(MOD(INT((F24)/65536),256)/2^7),2)*128)*65536+(MOD(INT(MOD(INT((D24)/16777216),256)/2^0),2)*MOD(INT(MOD(INT((F24)/16777216),256)/2^0),2)*1+MOD(INT(MOD(INT((D24)/16777216),256)/2^1),2)*MOD(INT(MOD(INT((F24)/16777216),256)/2^1),2)*2+MOD(INT(MOD(INT((D24)/16777216),256)/2^2),2)*MOD(INT(MOD(INT((F24)/16777216),256)/2^2),2)*4+MOD(INT(MOD(INT((D24)/16777216),256)/2^3),2)*MOD(INT(MOD(INT((F24)/16777216),256)/2^3),2)*8+MOD(INT(MOD(INT((D24)/16777216),256)/2^4),2)*MOD(INT(MOD(INT((F24)/16777216),256)/2^4),2)*16+MOD(INT(MOD(INT((D24)/16777216),256)/2^5),2)*MOD(INT(MOD(INT((F24)/16777216),256)/2^5),2)*32+MOD(INT(MOD(INT((D24)/16777216),256)/2^6),2)*MOD(INT(MOD(INT((F24)/16777216),256)/2^6),2)*64+MOD(INT(MOD(INT((D24)/16777216),256)/2^7),2)*MOD(INT(MOD(INT((F24)/16777216),256)/2^7),2)*128)*16777216)</f>
        <v>3523281928</v>
      </c>
      <c r="H25" s="36" t="n">
        <f aca="false">((MOD(INT(MOD(INT((E24)/1),256)/2^0),2)*MOD(INT(MOD(INT(((4294967295-F24))/1),256)/2^0),2)*1+MOD(INT(MOD(INT((E24)/1),256)/2^1),2)*MOD(INT(MOD(INT(((4294967295-F24))/1),256)/2^1),2)*2+MOD(INT(MOD(INT((E24)/1),256)/2^2),2)*MOD(INT(MOD(INT(((4294967295-F24))/1),256)/2^2),2)*4+MOD(INT(MOD(INT((E24)/1),256)/2^3),2)*MOD(INT(MOD(INT(((4294967295-F24))/1),256)/2^3),2)*8+MOD(INT(MOD(INT((E24)/1),256)/2^4),2)*MOD(INT(MOD(INT(((4294967295-F24))/1),256)/2^4),2)*16+MOD(INT(MOD(INT((E24)/1),256)/2^5),2)*MOD(INT(MOD(INT(((4294967295-F24))/1),256)/2^5),2)*32+MOD(INT(MOD(INT((E24)/1),256)/2^6),2)*MOD(INT(MOD(INT(((4294967295-F24))/1),256)/2^6),2)*64+MOD(INT(MOD(INT((E24)/1),256)/2^7),2)*MOD(INT(MOD(INT(((4294967295-F24))/1),256)/2^7),2)*128)*1+(MOD(INT(MOD(INT((E24)/256),256)/2^0),2)*MOD(INT(MOD(INT(((4294967295-F24))/256),256)/2^0),2)*1+MOD(INT(MOD(INT((E24)/256),256)/2^1),2)*MOD(INT(MOD(INT(((4294967295-F24))/256),256)/2^1),2)*2+MOD(INT(MOD(INT((E24)/256),256)/2^2),2)*MOD(INT(MOD(INT(((4294967295-F24))/256),256)/2^2),2)*4+MOD(INT(MOD(INT((E24)/256),256)/2^3),2)*MOD(INT(MOD(INT(((4294967295-F24))/256),256)/2^3),2)*8+MOD(INT(MOD(INT((E24)/256),256)/2^4),2)*MOD(INT(MOD(INT(((4294967295-F24))/256),256)/2^4),2)*16+MOD(INT(MOD(INT((E24)/256),256)/2^5),2)*MOD(INT(MOD(INT(((4294967295-F24))/256),256)/2^5),2)*32+MOD(INT(MOD(INT((E24)/256),256)/2^6),2)*MOD(INT(MOD(INT(((4294967295-F24))/256),256)/2^6),2)*64+MOD(INT(MOD(INT((E24)/256),256)/2^7),2)*MOD(INT(MOD(INT(((4294967295-F24))/256),256)/2^7),2)*128)*256+(MOD(INT(MOD(INT((E24)/65536),256)/2^0),2)*MOD(INT(MOD(INT(((4294967295-F24))/65536),256)/2^0),2)*1+MOD(INT(MOD(INT((E24)/65536),256)/2^1),2)*MOD(INT(MOD(INT(((4294967295-F24))/65536),256)/2^1),2)*2+MOD(INT(MOD(INT((E24)/65536),256)/2^2),2)*MOD(INT(MOD(INT(((4294967295-F24))/65536),256)/2^2),2)*4+MOD(INT(MOD(INT((E24)/65536),256)/2^3),2)*MOD(INT(MOD(INT(((4294967295-F24))/65536),256)/2^3),2)*8+MOD(INT(MOD(INT((E24)/65536),256)/2^4),2)*MOD(INT(MOD(INT(((4294967295-F24))/65536),256)/2^4),2)*16+MOD(INT(MOD(INT((E24)/65536),256)/2^5),2)*MOD(INT(MOD(INT(((4294967295-F24))/65536),256)/2^5),2)*32+MOD(INT(MOD(INT((E24)/65536),256)/2^6),2)*MOD(INT(MOD(INT(((4294967295-F24))/65536),256)/2^6),2)*64+MOD(INT(MOD(INT((E24)/65536),256)/2^7),2)*MOD(INT(MOD(INT(((4294967295-F24))/65536),256)/2^7),2)*128)*65536+(MOD(INT(MOD(INT((E24)/16777216),256)/2^0),2)*MOD(INT(MOD(INT(((4294967295-F24))/16777216),256)/2^0),2)*1+MOD(INT(MOD(INT((E24)/16777216),256)/2^1),2)*MOD(INT(MOD(INT(((4294967295-F24))/16777216),256)/2^1),2)*2+MOD(INT(MOD(INT((E24)/16777216),256)/2^2),2)*MOD(INT(MOD(INT(((4294967295-F24))/16777216),256)/2^2),2)*4+MOD(INT(MOD(INT((E24)/16777216),256)/2^3),2)*MOD(INT(MOD(INT(((4294967295-F24))/16777216),256)/2^3),2)*8+MOD(INT(MOD(INT((E24)/16777216),256)/2^4),2)*MOD(INT(MOD(INT(((4294967295-F24))/16777216),256)/2^4),2)*16+MOD(INT(MOD(INT((E24)/16777216),256)/2^5),2)*MOD(INT(MOD(INT(((4294967295-F24))/16777216),256)/2^5),2)*32+MOD(INT(MOD(INT((E24)/16777216),256)/2^6),2)*MOD(INT(MOD(INT(((4294967295-F24))/16777216),256)/2^6),2)*64+MOD(INT(MOD(INT((E24)/16777216),256)/2^7),2)*MOD(INT(MOD(INT(((4294967295-F24))/16777216),256)/2^7),2)*128)*16777216)</f>
        <v>13279877</v>
      </c>
      <c r="I25" s="37" t="s">
        <v>138</v>
      </c>
      <c r="J25" s="39" t="n">
        <f aca="false">MOD(G25+H25,4294967296)</f>
        <v>3536561805</v>
      </c>
      <c r="K25" s="36" t="n">
        <f aca="false">(IF(LEN('🔐 MD5'!B5)&gt;0,CODE(MID('🔐 MD5'!B5,1,1)),IF(LEN('🔐 MD5'!B5)=0,128,0)))+(IF(LEN('🔐 MD5'!B5)&gt;1,CODE(MID('🔐 MD5'!B5,2,1)),IF(LEN('🔐 MD5'!B5)=1,128,0)))*256+(IF(LEN('🔐 MD5'!B5)&gt;2,CODE(MID('🔐 MD5'!B5,3,1)),IF(LEN('🔐 MD5'!B5)=2,128,0)))*65536+(IF(LEN('🔐 MD5'!B5)&gt;3,CODE(MID('🔐 MD5'!B5,4,1)),IF(LEN('🔐 MD5'!B5)=3,128,0)))*16777216</f>
        <v>1819043176</v>
      </c>
      <c r="L25" s="36" t="n">
        <f aca="false">'📦 MD5 Constants'!C23</f>
        <v>3921069994</v>
      </c>
      <c r="M25" s="36" t="n">
        <f aca="false">'📦 MD5 Constants'!H23</f>
        <v>20</v>
      </c>
      <c r="N25" s="36" t="n">
        <f aca="false">MOD(C24+J25+K25+'📦 MD5 Constants'!C23,4294967296)</f>
        <v>3749874939</v>
      </c>
      <c r="O25" s="36" t="n">
        <f aca="false">MOD(MOD(N25,2^12)*2^20+INT(N25/2^12),4294967296)</f>
        <v>3485333544</v>
      </c>
      <c r="P25" s="39" t="n">
        <f aca="false">D25</f>
        <v>2736217268</v>
      </c>
      <c r="Q25" s="34" t="s">
        <v>158</v>
      </c>
    </row>
    <row r="26" customFormat="false" ht="13.5" hidden="false" customHeight="true" outlineLevel="0" collapsed="false">
      <c r="B26" s="38" t="n">
        <v>21</v>
      </c>
      <c r="C26" s="39" t="n">
        <f aca="false">F25</f>
        <v>2966398613</v>
      </c>
      <c r="D26" s="39" t="n">
        <f aca="false">MOD(D25+O26,4294967296)</f>
        <v>210018090</v>
      </c>
      <c r="E26" s="39" t="n">
        <f aca="false">D25</f>
        <v>2736217268</v>
      </c>
      <c r="F26" s="39" t="n">
        <f aca="false">E25</f>
        <v>3545851020</v>
      </c>
      <c r="G26" s="36" t="n">
        <f aca="false">((MOD(INT(MOD(INT((D25)/1),256)/2^0),2)*MOD(INT(MOD(INT((F25)/1),256)/2^0),2)*1+MOD(INT(MOD(INT((D25)/1),256)/2^1),2)*MOD(INT(MOD(INT((F25)/1),256)/2^1),2)*2+MOD(INT(MOD(INT((D25)/1),256)/2^2),2)*MOD(INT(MOD(INT((F25)/1),256)/2^2),2)*4+MOD(INT(MOD(INT((D25)/1),256)/2^3),2)*MOD(INT(MOD(INT((F25)/1),256)/2^3),2)*8+MOD(INT(MOD(INT((D25)/1),256)/2^4),2)*MOD(INT(MOD(INT((F25)/1),256)/2^4),2)*16+MOD(INT(MOD(INT((D25)/1),256)/2^5),2)*MOD(INT(MOD(INT((F25)/1),256)/2^5),2)*32+MOD(INT(MOD(INT((D25)/1),256)/2^6),2)*MOD(INT(MOD(INT((F25)/1),256)/2^6),2)*64+MOD(INT(MOD(INT((D25)/1),256)/2^7),2)*MOD(INT(MOD(INT((F25)/1),256)/2^7),2)*128)*1+(MOD(INT(MOD(INT((D25)/256),256)/2^0),2)*MOD(INT(MOD(INT((F25)/256),256)/2^0),2)*1+MOD(INT(MOD(INT((D25)/256),256)/2^1),2)*MOD(INT(MOD(INT((F25)/256),256)/2^1),2)*2+MOD(INT(MOD(INT((D25)/256),256)/2^2),2)*MOD(INT(MOD(INT((F25)/256),256)/2^2),2)*4+MOD(INT(MOD(INT((D25)/256),256)/2^3),2)*MOD(INT(MOD(INT((F25)/256),256)/2^3),2)*8+MOD(INT(MOD(INT((D25)/256),256)/2^4),2)*MOD(INT(MOD(INT((F25)/256),256)/2^4),2)*16+MOD(INT(MOD(INT((D25)/256),256)/2^5),2)*MOD(INT(MOD(INT((F25)/256),256)/2^5),2)*32+MOD(INT(MOD(INT((D25)/256),256)/2^6),2)*MOD(INT(MOD(INT((F25)/256),256)/2^6),2)*64+MOD(INT(MOD(INT((D25)/256),256)/2^7),2)*MOD(INT(MOD(INT((F25)/256),256)/2^7),2)*128)*256+(MOD(INT(MOD(INT((D25)/65536),256)/2^0),2)*MOD(INT(MOD(INT((F25)/65536),256)/2^0),2)*1+MOD(INT(MOD(INT((D25)/65536),256)/2^1),2)*MOD(INT(MOD(INT((F25)/65536),256)/2^1),2)*2+MOD(INT(MOD(INT((D25)/65536),256)/2^2),2)*MOD(INT(MOD(INT((F25)/65536),256)/2^2),2)*4+MOD(INT(MOD(INT((D25)/65536),256)/2^3),2)*MOD(INT(MOD(INT((F25)/65536),256)/2^3),2)*8+MOD(INT(MOD(INT((D25)/65536),256)/2^4),2)*MOD(INT(MOD(INT((F25)/65536),256)/2^4),2)*16+MOD(INT(MOD(INT((D25)/65536),256)/2^5),2)*MOD(INT(MOD(INT((F25)/65536),256)/2^5),2)*32+MOD(INT(MOD(INT((D25)/65536),256)/2^6),2)*MOD(INT(MOD(INT((F25)/65536),256)/2^6),2)*64+MOD(INT(MOD(INT((D25)/65536),256)/2^7),2)*MOD(INT(MOD(INT((F25)/65536),256)/2^7),2)*128)*65536+(MOD(INT(MOD(INT((D25)/16777216),256)/2^0),2)*MOD(INT(MOD(INT((F25)/16777216),256)/2^0),2)*1+MOD(INT(MOD(INT((D25)/16777216),256)/2^1),2)*MOD(INT(MOD(INT((F25)/16777216),256)/2^1),2)*2+MOD(INT(MOD(INT((D25)/16777216),256)/2^2),2)*MOD(INT(MOD(INT((F25)/16777216),256)/2^2),2)*4+MOD(INT(MOD(INT((D25)/16777216),256)/2^3),2)*MOD(INT(MOD(INT((F25)/16777216),256)/2^3),2)*8+MOD(INT(MOD(INT((D25)/16777216),256)/2^4),2)*MOD(INT(MOD(INT((F25)/16777216),256)/2^4),2)*16+MOD(INT(MOD(INT((D25)/16777216),256)/2^5),2)*MOD(INT(MOD(INT((F25)/16777216),256)/2^5),2)*32+MOD(INT(MOD(INT((D25)/16777216),256)/2^6),2)*MOD(INT(MOD(INT((F25)/16777216),256)/2^6),2)*64+MOD(INT(MOD(INT((D25)/16777216),256)/2^7),2)*MOD(INT(MOD(INT((F25)/16777216),256)/2^7),2)*128)*16777216)</f>
        <v>2684814484</v>
      </c>
      <c r="H26" s="36" t="n">
        <f aca="false">((MOD(INT(MOD(INT((E25)/1),256)/2^0),2)*MOD(INT(MOD(INT(((4294967295-F25))/1),256)/2^0),2)*1+MOD(INT(MOD(INT((E25)/1),256)/2^1),2)*MOD(INT(MOD(INT(((4294967295-F25))/1),256)/2^1),2)*2+MOD(INT(MOD(INT((E25)/1),256)/2^2),2)*MOD(INT(MOD(INT(((4294967295-F25))/1),256)/2^2),2)*4+MOD(INT(MOD(INT((E25)/1),256)/2^3),2)*MOD(INT(MOD(INT(((4294967295-F25))/1),256)/2^3),2)*8+MOD(INT(MOD(INT((E25)/1),256)/2^4),2)*MOD(INT(MOD(INT(((4294967295-F25))/1),256)/2^4),2)*16+MOD(INT(MOD(INT((E25)/1),256)/2^5),2)*MOD(INT(MOD(INT(((4294967295-F25))/1),256)/2^5),2)*32+MOD(INT(MOD(INT((E25)/1),256)/2^6),2)*MOD(INT(MOD(INT(((4294967295-F25))/1),256)/2^6),2)*64+MOD(INT(MOD(INT((E25)/1),256)/2^7),2)*MOD(INT(MOD(INT(((4294967295-F25))/1),256)/2^7),2)*128)*1+(MOD(INT(MOD(INT((E25)/256),256)/2^0),2)*MOD(INT(MOD(INT(((4294967295-F25))/256),256)/2^0),2)*1+MOD(INT(MOD(INT((E25)/256),256)/2^1),2)*MOD(INT(MOD(INT(((4294967295-F25))/256),256)/2^1),2)*2+MOD(INT(MOD(INT((E25)/256),256)/2^2),2)*MOD(INT(MOD(INT(((4294967295-F25))/256),256)/2^2),2)*4+MOD(INT(MOD(INT((E25)/256),256)/2^3),2)*MOD(INT(MOD(INT(((4294967295-F25))/256),256)/2^3),2)*8+MOD(INT(MOD(INT((E25)/256),256)/2^4),2)*MOD(INT(MOD(INT(((4294967295-F25))/256),256)/2^4),2)*16+MOD(INT(MOD(INT((E25)/256),256)/2^5),2)*MOD(INT(MOD(INT(((4294967295-F25))/256),256)/2^5),2)*32+MOD(INT(MOD(INT((E25)/256),256)/2^6),2)*MOD(INT(MOD(INT(((4294967295-F25))/256),256)/2^6),2)*64+MOD(INT(MOD(INT((E25)/256),256)/2^7),2)*MOD(INT(MOD(INT(((4294967295-F25))/256),256)/2^7),2)*128)*256+(MOD(INT(MOD(INT((E25)/65536),256)/2^0),2)*MOD(INT(MOD(INT(((4294967295-F25))/65536),256)/2^0),2)*1+MOD(INT(MOD(INT((E25)/65536),256)/2^1),2)*MOD(INT(MOD(INT(((4294967295-F25))/65536),256)/2^1),2)*2+MOD(INT(MOD(INT((E25)/65536),256)/2^2),2)*MOD(INT(MOD(INT(((4294967295-F25))/65536),256)/2^2),2)*4+MOD(INT(MOD(INT((E25)/65536),256)/2^3),2)*MOD(INT(MOD(INT(((4294967295-F25))/65536),256)/2^3),2)*8+MOD(INT(MOD(INT((E25)/65536),256)/2^4),2)*MOD(INT(MOD(INT(((4294967295-F25))/65536),256)/2^4),2)*16+MOD(INT(MOD(INT((E25)/65536),256)/2^5),2)*MOD(INT(MOD(INT(((4294967295-F25))/65536),256)/2^5),2)*32+MOD(INT(MOD(INT((E25)/65536),256)/2^6),2)*MOD(INT(MOD(INT(((4294967295-F25))/65536),256)/2^6),2)*64+MOD(INT(MOD(INT((E25)/65536),256)/2^7),2)*MOD(INT(MOD(INT(((4294967295-F25))/65536),256)/2^7),2)*128)*65536+(MOD(INT(MOD(INT((E25)/16777216),256)/2^0),2)*MOD(INT(MOD(INT(((4294967295-F25))/16777216),256)/2^0),2)*1+MOD(INT(MOD(INT((E25)/16777216),256)/2^1),2)*MOD(INT(MOD(INT(((4294967295-F25))/16777216),256)/2^1),2)*2+MOD(INT(MOD(INT((E25)/16777216),256)/2^2),2)*MOD(INT(MOD(INT(((4294967295-F25))/16777216),256)/2^2),2)*4+MOD(INT(MOD(INT((E25)/16777216),256)/2^3),2)*MOD(INT(MOD(INT(((4294967295-F25))/16777216),256)/2^3),2)*8+MOD(INT(MOD(INT((E25)/16777216),256)/2^4),2)*MOD(INT(MOD(INT(((4294967295-F25))/16777216),256)/2^4),2)*16+MOD(INT(MOD(INT((E25)/16777216),256)/2^5),2)*MOD(INT(MOD(INT(((4294967295-F25))/16777216),256)/2^5),2)*32+MOD(INT(MOD(INT((E25)/16777216),256)/2^6),2)*MOD(INT(MOD(INT(((4294967295-F25))/16777216),256)/2^6),2)*64+MOD(INT(MOD(INT((E25)/16777216),256)/2^7),2)*MOD(INT(MOD(INT(((4294967295-F25))/16777216),256)/2^7),2)*128)*16777216)</f>
        <v>1125138440</v>
      </c>
      <c r="I26" s="37" t="s">
        <v>138</v>
      </c>
      <c r="J26" s="39" t="n">
        <f aca="false">MOD(G26+H26,4294967296)</f>
        <v>3809952924</v>
      </c>
      <c r="K26" s="36" t="n">
        <f aca="false">(0)+(0)*256+(0)*65536+(0)*16777216</f>
        <v>0</v>
      </c>
      <c r="L26" s="36" t="n">
        <f aca="false">'📦 MD5 Constants'!C24</f>
        <v>3593408605</v>
      </c>
      <c r="M26" s="36" t="n">
        <f aca="false">'📦 MD5 Constants'!H24</f>
        <v>5</v>
      </c>
      <c r="N26" s="36" t="n">
        <f aca="false">MOD(C25+J26+K26+'📦 MD5 Constants'!C24,4294967296)</f>
        <v>3008064019</v>
      </c>
      <c r="O26" s="36" t="n">
        <f aca="false">MOD(MOD(N26,2^27)*2^5+INT(N26/2^27),4294967296)</f>
        <v>1768768118</v>
      </c>
      <c r="P26" s="39" t="n">
        <f aca="false">D26</f>
        <v>210018090</v>
      </c>
      <c r="Q26" s="34" t="s">
        <v>159</v>
      </c>
    </row>
    <row r="27" customFormat="false" ht="13.5" hidden="false" customHeight="true" outlineLevel="0" collapsed="false">
      <c r="B27" s="38" t="n">
        <v>22</v>
      </c>
      <c r="C27" s="39" t="n">
        <f aca="false">F26</f>
        <v>3545851020</v>
      </c>
      <c r="D27" s="39" t="n">
        <f aca="false">MOD(D26+O27,4294967296)</f>
        <v>1077076176</v>
      </c>
      <c r="E27" s="39" t="n">
        <f aca="false">D26</f>
        <v>210018090</v>
      </c>
      <c r="F27" s="39" t="n">
        <f aca="false">E26</f>
        <v>2736217268</v>
      </c>
      <c r="G27" s="36" t="n">
        <f aca="false">((MOD(INT(MOD(INT((D26)/1),256)/2^0),2)*MOD(INT(MOD(INT((F26)/1),256)/2^0),2)*1+MOD(INT(MOD(INT((D26)/1),256)/2^1),2)*MOD(INT(MOD(INT((F26)/1),256)/2^1),2)*2+MOD(INT(MOD(INT((D26)/1),256)/2^2),2)*MOD(INT(MOD(INT((F26)/1),256)/2^2),2)*4+MOD(INT(MOD(INT((D26)/1),256)/2^3),2)*MOD(INT(MOD(INT((F26)/1),256)/2^3),2)*8+MOD(INT(MOD(INT((D26)/1),256)/2^4),2)*MOD(INT(MOD(INT((F26)/1),256)/2^4),2)*16+MOD(INT(MOD(INT((D26)/1),256)/2^5),2)*MOD(INT(MOD(INT((F26)/1),256)/2^5),2)*32+MOD(INT(MOD(INT((D26)/1),256)/2^6),2)*MOD(INT(MOD(INT((F26)/1),256)/2^6),2)*64+MOD(INT(MOD(INT((D26)/1),256)/2^7),2)*MOD(INT(MOD(INT((F26)/1),256)/2^7),2)*128)*1+(MOD(INT(MOD(INT((D26)/256),256)/2^0),2)*MOD(INT(MOD(INT((F26)/256),256)/2^0),2)*1+MOD(INT(MOD(INT((D26)/256),256)/2^1),2)*MOD(INT(MOD(INT((F26)/256),256)/2^1),2)*2+MOD(INT(MOD(INT((D26)/256),256)/2^2),2)*MOD(INT(MOD(INT((F26)/256),256)/2^2),2)*4+MOD(INT(MOD(INT((D26)/256),256)/2^3),2)*MOD(INT(MOD(INT((F26)/256),256)/2^3),2)*8+MOD(INT(MOD(INT((D26)/256),256)/2^4),2)*MOD(INT(MOD(INT((F26)/256),256)/2^4),2)*16+MOD(INT(MOD(INT((D26)/256),256)/2^5),2)*MOD(INT(MOD(INT((F26)/256),256)/2^5),2)*32+MOD(INT(MOD(INT((D26)/256),256)/2^6),2)*MOD(INT(MOD(INT((F26)/256),256)/2^6),2)*64+MOD(INT(MOD(INT((D26)/256),256)/2^7),2)*MOD(INT(MOD(INT((F26)/256),256)/2^7),2)*128)*256+(MOD(INT(MOD(INT((D26)/65536),256)/2^0),2)*MOD(INT(MOD(INT((F26)/65536),256)/2^0),2)*1+MOD(INT(MOD(INT((D26)/65536),256)/2^1),2)*MOD(INT(MOD(INT((F26)/65536),256)/2^1),2)*2+MOD(INT(MOD(INT((D26)/65536),256)/2^2),2)*MOD(INT(MOD(INT((F26)/65536),256)/2^2),2)*4+MOD(INT(MOD(INT((D26)/65536),256)/2^3),2)*MOD(INT(MOD(INT((F26)/65536),256)/2^3),2)*8+MOD(INT(MOD(INT((D26)/65536),256)/2^4),2)*MOD(INT(MOD(INT((F26)/65536),256)/2^4),2)*16+MOD(INT(MOD(INT((D26)/65536),256)/2^5),2)*MOD(INT(MOD(INT((F26)/65536),256)/2^5),2)*32+MOD(INT(MOD(INT((D26)/65536),256)/2^6),2)*MOD(INT(MOD(INT((F26)/65536),256)/2^6),2)*64+MOD(INT(MOD(INT((D26)/65536),256)/2^7),2)*MOD(INT(MOD(INT((F26)/65536),256)/2^7),2)*128)*65536+(MOD(INT(MOD(INT((D26)/16777216),256)/2^0),2)*MOD(INT(MOD(INT((F26)/16777216),256)/2^0),2)*1+MOD(INT(MOD(INT((D26)/16777216),256)/2^1),2)*MOD(INT(MOD(INT((F26)/16777216),256)/2^1),2)*2+MOD(INT(MOD(INT((D26)/16777216),256)/2^2),2)*MOD(INT(MOD(INT((F26)/16777216),256)/2^2),2)*4+MOD(INT(MOD(INT((D26)/16777216),256)/2^3),2)*MOD(INT(MOD(INT((F26)/16777216),256)/2^3),2)*8+MOD(INT(MOD(INT((D26)/16777216),256)/2^4),2)*MOD(INT(MOD(INT((F26)/16777216),256)/2^4),2)*16+MOD(INT(MOD(INT((D26)/16777216),256)/2^5),2)*MOD(INT(MOD(INT((F26)/16777216),256)/2^5),2)*32+MOD(INT(MOD(INT((D26)/16777216),256)/2^6),2)*MOD(INT(MOD(INT((F26)/16777216),256)/2^6),2)*64+MOD(INT(MOD(INT((D26)/16777216),256)/2^7),2)*MOD(INT(MOD(INT((F26)/16777216),256)/2^7),2)*128)*16777216)</f>
        <v>1032</v>
      </c>
      <c r="H27" s="36" t="n">
        <f aca="false">((MOD(INT(MOD(INT((E26)/1),256)/2^0),2)*MOD(INT(MOD(INT(((4294967295-F26))/1),256)/2^0),2)*1+MOD(INT(MOD(INT((E26)/1),256)/2^1),2)*MOD(INT(MOD(INT(((4294967295-F26))/1),256)/2^1),2)*2+MOD(INT(MOD(INT((E26)/1),256)/2^2),2)*MOD(INT(MOD(INT(((4294967295-F26))/1),256)/2^2),2)*4+MOD(INT(MOD(INT((E26)/1),256)/2^3),2)*MOD(INT(MOD(INT(((4294967295-F26))/1),256)/2^3),2)*8+MOD(INT(MOD(INT((E26)/1),256)/2^4),2)*MOD(INT(MOD(INT(((4294967295-F26))/1),256)/2^4),2)*16+MOD(INT(MOD(INT((E26)/1),256)/2^5),2)*MOD(INT(MOD(INT(((4294967295-F26))/1),256)/2^5),2)*32+MOD(INT(MOD(INT((E26)/1),256)/2^6),2)*MOD(INT(MOD(INT(((4294967295-F26))/1),256)/2^6),2)*64+MOD(INT(MOD(INT((E26)/1),256)/2^7),2)*MOD(INT(MOD(INT(((4294967295-F26))/1),256)/2^7),2)*128)*1+(MOD(INT(MOD(INT((E26)/256),256)/2^0),2)*MOD(INT(MOD(INT(((4294967295-F26))/256),256)/2^0),2)*1+MOD(INT(MOD(INT((E26)/256),256)/2^1),2)*MOD(INT(MOD(INT(((4294967295-F26))/256),256)/2^1),2)*2+MOD(INT(MOD(INT((E26)/256),256)/2^2),2)*MOD(INT(MOD(INT(((4294967295-F26))/256),256)/2^2),2)*4+MOD(INT(MOD(INT((E26)/256),256)/2^3),2)*MOD(INT(MOD(INT(((4294967295-F26))/256),256)/2^3),2)*8+MOD(INT(MOD(INT((E26)/256),256)/2^4),2)*MOD(INT(MOD(INT(((4294967295-F26))/256),256)/2^4),2)*16+MOD(INT(MOD(INT((E26)/256),256)/2^5),2)*MOD(INT(MOD(INT(((4294967295-F26))/256),256)/2^5),2)*32+MOD(INT(MOD(INT((E26)/256),256)/2^6),2)*MOD(INT(MOD(INT(((4294967295-F26))/256),256)/2^6),2)*64+MOD(INT(MOD(INT((E26)/256),256)/2^7),2)*MOD(INT(MOD(INT(((4294967295-F26))/256),256)/2^7),2)*128)*256+(MOD(INT(MOD(INT((E26)/65536),256)/2^0),2)*MOD(INT(MOD(INT(((4294967295-F26))/65536),256)/2^0),2)*1+MOD(INT(MOD(INT((E26)/65536),256)/2^1),2)*MOD(INT(MOD(INT(((4294967295-F26))/65536),256)/2^1),2)*2+MOD(INT(MOD(INT((E26)/65536),256)/2^2),2)*MOD(INT(MOD(INT(((4294967295-F26))/65536),256)/2^2),2)*4+MOD(INT(MOD(INT((E26)/65536),256)/2^3),2)*MOD(INT(MOD(INT(((4294967295-F26))/65536),256)/2^3),2)*8+MOD(INT(MOD(INT((E26)/65536),256)/2^4),2)*MOD(INT(MOD(INT(((4294967295-F26))/65536),256)/2^4),2)*16+MOD(INT(MOD(INT((E26)/65536),256)/2^5),2)*MOD(INT(MOD(INT(((4294967295-F26))/65536),256)/2^5),2)*32+MOD(INT(MOD(INT((E26)/65536),256)/2^6),2)*MOD(INT(MOD(INT(((4294967295-F26))/65536),256)/2^6),2)*64+MOD(INT(MOD(INT((E26)/65536),256)/2^7),2)*MOD(INT(MOD(INT(((4294967295-F26))/65536),256)/2^7),2)*128)*65536+(MOD(INT(MOD(INT((E26)/16777216),256)/2^0),2)*MOD(INT(MOD(INT(((4294967295-F26))/16777216),256)/2^0),2)*1+MOD(INT(MOD(INT((E26)/16777216),256)/2^1),2)*MOD(INT(MOD(INT(((4294967295-F26))/16777216),256)/2^1),2)*2+MOD(INT(MOD(INT((E26)/16777216),256)/2^2),2)*MOD(INT(MOD(INT(((4294967295-F26))/16777216),256)/2^2),2)*4+MOD(INT(MOD(INT((E26)/16777216),256)/2^3),2)*MOD(INT(MOD(INT(((4294967295-F26))/16777216),256)/2^3),2)*8+MOD(INT(MOD(INT((E26)/16777216),256)/2^4),2)*MOD(INT(MOD(INT(((4294967295-F26))/16777216),256)/2^4),2)*16+MOD(INT(MOD(INT((E26)/16777216),256)/2^5),2)*MOD(INT(MOD(INT(((4294967295-F26))/16777216),256)/2^5),2)*32+MOD(INT(MOD(INT((E26)/16777216),256)/2^6),2)*MOD(INT(MOD(INT(((4294967295-F26))/16777216),256)/2^6),2)*64+MOD(INT(MOD(INT((E26)/16777216),256)/2^7),2)*MOD(INT(MOD(INT(((4294967295-F26))/16777216),256)/2^7),2)*128)*16777216)</f>
        <v>537270320</v>
      </c>
      <c r="I27" s="37" t="s">
        <v>138</v>
      </c>
      <c r="J27" s="39" t="n">
        <f aca="false">MOD(G27+H27,4294967296)</f>
        <v>537271352</v>
      </c>
      <c r="K27" s="36" t="n">
        <f aca="false">(0)+(0)*256+(0)*65536+(0)*16777216</f>
        <v>0</v>
      </c>
      <c r="L27" s="36" t="n">
        <f aca="false">'📦 MD5 Constants'!C25</f>
        <v>38016083</v>
      </c>
      <c r="M27" s="36" t="n">
        <f aca="false">'📦 MD5 Constants'!H25</f>
        <v>9</v>
      </c>
      <c r="N27" s="36" t="n">
        <f aca="false">MOD(C26+J27+K27+'📦 MD5 Constants'!C25,4294967296)</f>
        <v>3541686048</v>
      </c>
      <c r="O27" s="36" t="n">
        <f aca="false">MOD(MOD(N27,2^23)*2^9+INT(N27/2^23),4294967296)</f>
        <v>867058086</v>
      </c>
      <c r="P27" s="39" t="n">
        <f aca="false">D27</f>
        <v>1077076176</v>
      </c>
      <c r="Q27" s="34" t="s">
        <v>160</v>
      </c>
    </row>
    <row r="28" customFormat="false" ht="13.5" hidden="false" customHeight="true" outlineLevel="0" collapsed="false">
      <c r="B28" s="38" t="n">
        <v>23</v>
      </c>
      <c r="C28" s="39" t="n">
        <f aca="false">F27</f>
        <v>2736217268</v>
      </c>
      <c r="D28" s="39" t="n">
        <f aca="false">MOD(D27+O28,4294967296)</f>
        <v>3286028019</v>
      </c>
      <c r="E28" s="39" t="n">
        <f aca="false">D27</f>
        <v>1077076176</v>
      </c>
      <c r="F28" s="39" t="n">
        <f aca="false">E27</f>
        <v>210018090</v>
      </c>
      <c r="G28" s="36" t="n">
        <f aca="false">((MOD(INT(MOD(INT((D27)/1),256)/2^0),2)*MOD(INT(MOD(INT((F27)/1),256)/2^0),2)*1+MOD(INT(MOD(INT((D27)/1),256)/2^1),2)*MOD(INT(MOD(INT((F27)/1),256)/2^1),2)*2+MOD(INT(MOD(INT((D27)/1),256)/2^2),2)*MOD(INT(MOD(INT((F27)/1),256)/2^2),2)*4+MOD(INT(MOD(INT((D27)/1),256)/2^3),2)*MOD(INT(MOD(INT((F27)/1),256)/2^3),2)*8+MOD(INT(MOD(INT((D27)/1),256)/2^4),2)*MOD(INT(MOD(INT((F27)/1),256)/2^4),2)*16+MOD(INT(MOD(INT((D27)/1),256)/2^5),2)*MOD(INT(MOD(INT((F27)/1),256)/2^5),2)*32+MOD(INT(MOD(INT((D27)/1),256)/2^6),2)*MOD(INT(MOD(INT((F27)/1),256)/2^6),2)*64+MOD(INT(MOD(INT((D27)/1),256)/2^7),2)*MOD(INT(MOD(INT((F27)/1),256)/2^7),2)*128)*1+(MOD(INT(MOD(INT((D27)/256),256)/2^0),2)*MOD(INT(MOD(INT((F27)/256),256)/2^0),2)*1+MOD(INT(MOD(INT((D27)/256),256)/2^1),2)*MOD(INT(MOD(INT((F27)/256),256)/2^1),2)*2+MOD(INT(MOD(INT((D27)/256),256)/2^2),2)*MOD(INT(MOD(INT((F27)/256),256)/2^2),2)*4+MOD(INT(MOD(INT((D27)/256),256)/2^3),2)*MOD(INT(MOD(INT((F27)/256),256)/2^3),2)*8+MOD(INT(MOD(INT((D27)/256),256)/2^4),2)*MOD(INT(MOD(INT((F27)/256),256)/2^4),2)*16+MOD(INT(MOD(INT((D27)/256),256)/2^5),2)*MOD(INT(MOD(INT((F27)/256),256)/2^5),2)*32+MOD(INT(MOD(INT((D27)/256),256)/2^6),2)*MOD(INT(MOD(INT((F27)/256),256)/2^6),2)*64+MOD(INT(MOD(INT((D27)/256),256)/2^7),2)*MOD(INT(MOD(INT((F27)/256),256)/2^7),2)*128)*256+(MOD(INT(MOD(INT((D27)/65536),256)/2^0),2)*MOD(INT(MOD(INT((F27)/65536),256)/2^0),2)*1+MOD(INT(MOD(INT((D27)/65536),256)/2^1),2)*MOD(INT(MOD(INT((F27)/65536),256)/2^1),2)*2+MOD(INT(MOD(INT((D27)/65536),256)/2^2),2)*MOD(INT(MOD(INT((F27)/65536),256)/2^2),2)*4+MOD(INT(MOD(INT((D27)/65536),256)/2^3),2)*MOD(INT(MOD(INT((F27)/65536),256)/2^3),2)*8+MOD(INT(MOD(INT((D27)/65536),256)/2^4),2)*MOD(INT(MOD(INT((F27)/65536),256)/2^4),2)*16+MOD(INT(MOD(INT((D27)/65536),256)/2^5),2)*MOD(INT(MOD(INT((F27)/65536),256)/2^5),2)*32+MOD(INT(MOD(INT((D27)/65536),256)/2^6),2)*MOD(INT(MOD(INT((F27)/65536),256)/2^6),2)*64+MOD(INT(MOD(INT((D27)/65536),256)/2^7),2)*MOD(INT(MOD(INT((F27)/65536),256)/2^7),2)*128)*65536+(MOD(INT(MOD(INT((D27)/16777216),256)/2^0),2)*MOD(INT(MOD(INT((F27)/16777216),256)/2^0),2)*1+MOD(INT(MOD(INT((D27)/16777216),256)/2^1),2)*MOD(INT(MOD(INT((F27)/16777216),256)/2^1),2)*2+MOD(INT(MOD(INT((D27)/16777216),256)/2^2),2)*MOD(INT(MOD(INT((F27)/16777216),256)/2^2),2)*4+MOD(INT(MOD(INT((D27)/16777216),256)/2^3),2)*MOD(INT(MOD(INT((F27)/16777216),256)/2^3),2)*8+MOD(INT(MOD(INT((D27)/16777216),256)/2^4),2)*MOD(INT(MOD(INT((F27)/16777216),256)/2^4),2)*16+MOD(INT(MOD(INT((D27)/16777216),256)/2^5),2)*MOD(INT(MOD(INT((F27)/16777216),256)/2^5),2)*32+MOD(INT(MOD(INT((D27)/16777216),256)/2^6),2)*MOD(INT(MOD(INT((F27)/16777216),256)/2^6),2)*64+MOD(INT(MOD(INT((D27)/16777216),256)/2^7),2)*MOD(INT(MOD(INT((F27)/16777216),256)/2^7),2)*128)*16777216)</f>
        <v>1196176</v>
      </c>
      <c r="H28" s="36" t="n">
        <f aca="false">((MOD(INT(MOD(INT((E27)/1),256)/2^0),2)*MOD(INT(MOD(INT(((4294967295-F27))/1),256)/2^0),2)*1+MOD(INT(MOD(INT((E27)/1),256)/2^1),2)*MOD(INT(MOD(INT(((4294967295-F27))/1),256)/2^1),2)*2+MOD(INT(MOD(INT((E27)/1),256)/2^2),2)*MOD(INT(MOD(INT(((4294967295-F27))/1),256)/2^2),2)*4+MOD(INT(MOD(INT((E27)/1),256)/2^3),2)*MOD(INT(MOD(INT(((4294967295-F27))/1),256)/2^3),2)*8+MOD(INT(MOD(INT((E27)/1),256)/2^4),2)*MOD(INT(MOD(INT(((4294967295-F27))/1),256)/2^4),2)*16+MOD(INT(MOD(INT((E27)/1),256)/2^5),2)*MOD(INT(MOD(INT(((4294967295-F27))/1),256)/2^5),2)*32+MOD(INT(MOD(INT((E27)/1),256)/2^6),2)*MOD(INT(MOD(INT(((4294967295-F27))/1),256)/2^6),2)*64+MOD(INT(MOD(INT((E27)/1),256)/2^7),2)*MOD(INT(MOD(INT(((4294967295-F27))/1),256)/2^7),2)*128)*1+(MOD(INT(MOD(INT((E27)/256),256)/2^0),2)*MOD(INT(MOD(INT(((4294967295-F27))/256),256)/2^0),2)*1+MOD(INT(MOD(INT((E27)/256),256)/2^1),2)*MOD(INT(MOD(INT(((4294967295-F27))/256),256)/2^1),2)*2+MOD(INT(MOD(INT((E27)/256),256)/2^2),2)*MOD(INT(MOD(INT(((4294967295-F27))/256),256)/2^2),2)*4+MOD(INT(MOD(INT((E27)/256),256)/2^3),2)*MOD(INT(MOD(INT(((4294967295-F27))/256),256)/2^3),2)*8+MOD(INT(MOD(INT((E27)/256),256)/2^4),2)*MOD(INT(MOD(INT(((4294967295-F27))/256),256)/2^4),2)*16+MOD(INT(MOD(INT((E27)/256),256)/2^5),2)*MOD(INT(MOD(INT(((4294967295-F27))/256),256)/2^5),2)*32+MOD(INT(MOD(INT((E27)/256),256)/2^6),2)*MOD(INT(MOD(INT(((4294967295-F27))/256),256)/2^6),2)*64+MOD(INT(MOD(INT((E27)/256),256)/2^7),2)*MOD(INT(MOD(INT(((4294967295-F27))/256),256)/2^7),2)*128)*256+(MOD(INT(MOD(INT((E27)/65536),256)/2^0),2)*MOD(INT(MOD(INT(((4294967295-F27))/65536),256)/2^0),2)*1+MOD(INT(MOD(INT((E27)/65536),256)/2^1),2)*MOD(INT(MOD(INT(((4294967295-F27))/65536),256)/2^1),2)*2+MOD(INT(MOD(INT((E27)/65536),256)/2^2),2)*MOD(INT(MOD(INT(((4294967295-F27))/65536),256)/2^2),2)*4+MOD(INT(MOD(INT((E27)/65536),256)/2^3),2)*MOD(INT(MOD(INT(((4294967295-F27))/65536),256)/2^3),2)*8+MOD(INT(MOD(INT((E27)/65536),256)/2^4),2)*MOD(INT(MOD(INT(((4294967295-F27))/65536),256)/2^4),2)*16+MOD(INT(MOD(INT((E27)/65536),256)/2^5),2)*MOD(INT(MOD(INT(((4294967295-F27))/65536),256)/2^5),2)*32+MOD(INT(MOD(INT((E27)/65536),256)/2^6),2)*MOD(INT(MOD(INT(((4294967295-F27))/65536),256)/2^6),2)*64+MOD(INT(MOD(INT((E27)/65536),256)/2^7),2)*MOD(INT(MOD(INT(((4294967295-F27))/65536),256)/2^7),2)*128)*65536+(MOD(INT(MOD(INT((E27)/16777216),256)/2^0),2)*MOD(INT(MOD(INT(((4294967295-F27))/16777216),256)/2^0),2)*1+MOD(INT(MOD(INT((E27)/16777216),256)/2^1),2)*MOD(INT(MOD(INT(((4294967295-F27))/16777216),256)/2^1),2)*2+MOD(INT(MOD(INT((E27)/16777216),256)/2^2),2)*MOD(INT(MOD(INT(((4294967295-F27))/16777216),256)/2^2),2)*4+MOD(INT(MOD(INT((E27)/16777216),256)/2^3),2)*MOD(INT(MOD(INT(((4294967295-F27))/16777216),256)/2^3),2)*8+MOD(INT(MOD(INT((E27)/16777216),256)/2^4),2)*MOD(INT(MOD(INT(((4294967295-F27))/16777216),256)/2^4),2)*16+MOD(INT(MOD(INT((E27)/16777216),256)/2^5),2)*MOD(INT(MOD(INT(((4294967295-F27))/16777216),256)/2^5),2)*32+MOD(INT(MOD(INT((E27)/16777216),256)/2^6),2)*MOD(INT(MOD(INT(((4294967295-F27))/16777216),256)/2^6),2)*64+MOD(INT(MOD(INT((E27)/16777216),256)/2^7),2)*MOD(INT(MOD(INT(((4294967295-F27))/16777216),256)/2^7),2)*128)*16777216)</f>
        <v>209748746</v>
      </c>
      <c r="I28" s="37" t="s">
        <v>138</v>
      </c>
      <c r="J28" s="39" t="n">
        <f aca="false">MOD(G28+H28,4294967296)</f>
        <v>210944922</v>
      </c>
      <c r="K28" s="36" t="n">
        <f aca="false">(0)+(0)*256+(0)*65536+(0)*16777216</f>
        <v>0</v>
      </c>
      <c r="L28" s="36" t="n">
        <f aca="false">'📦 MD5 Constants'!C26</f>
        <v>3634488961</v>
      </c>
      <c r="M28" s="36" t="n">
        <f aca="false">'📦 MD5 Constants'!H26</f>
        <v>14</v>
      </c>
      <c r="N28" s="36" t="n">
        <f aca="false">MOD(C27+J28+K28+'📦 MD5 Constants'!C26,4294967296)</f>
        <v>3096317607</v>
      </c>
      <c r="O28" s="36" t="n">
        <f aca="false">MOD(MOD(N28,2^18)*2^14+INT(N28/2^18),4294967296)</f>
        <v>2208951843</v>
      </c>
      <c r="P28" s="39" t="n">
        <f aca="false">D28</f>
        <v>3286028019</v>
      </c>
      <c r="Q28" s="34" t="s">
        <v>161</v>
      </c>
    </row>
    <row r="29" customFormat="false" ht="13.5" hidden="false" customHeight="true" outlineLevel="0" collapsed="false">
      <c r="B29" s="38" t="n">
        <v>24</v>
      </c>
      <c r="C29" s="39" t="n">
        <f aca="false">F28</f>
        <v>210018090</v>
      </c>
      <c r="D29" s="39" t="n">
        <f aca="false">MOD(D28+O29,4294967296)</f>
        <v>986286359</v>
      </c>
      <c r="E29" s="39" t="n">
        <f aca="false">D28</f>
        <v>3286028019</v>
      </c>
      <c r="F29" s="39" t="n">
        <f aca="false">E28</f>
        <v>1077076176</v>
      </c>
      <c r="G29" s="36" t="n">
        <f aca="false">((MOD(INT(MOD(INT((D28)/1),256)/2^0),2)*MOD(INT(MOD(INT((F28)/1),256)/2^0),2)*1+MOD(INT(MOD(INT((D28)/1),256)/2^1),2)*MOD(INT(MOD(INT((F28)/1),256)/2^1),2)*2+MOD(INT(MOD(INT((D28)/1),256)/2^2),2)*MOD(INT(MOD(INT((F28)/1),256)/2^2),2)*4+MOD(INT(MOD(INT((D28)/1),256)/2^3),2)*MOD(INT(MOD(INT((F28)/1),256)/2^3),2)*8+MOD(INT(MOD(INT((D28)/1),256)/2^4),2)*MOD(INT(MOD(INT((F28)/1),256)/2^4),2)*16+MOD(INT(MOD(INT((D28)/1),256)/2^5),2)*MOD(INT(MOD(INT((F28)/1),256)/2^5),2)*32+MOD(INT(MOD(INT((D28)/1),256)/2^6),2)*MOD(INT(MOD(INT((F28)/1),256)/2^6),2)*64+MOD(INT(MOD(INT((D28)/1),256)/2^7),2)*MOD(INT(MOD(INT((F28)/1),256)/2^7),2)*128)*1+(MOD(INT(MOD(INT((D28)/256),256)/2^0),2)*MOD(INT(MOD(INT((F28)/256),256)/2^0),2)*1+MOD(INT(MOD(INT((D28)/256),256)/2^1),2)*MOD(INT(MOD(INT((F28)/256),256)/2^1),2)*2+MOD(INT(MOD(INT((D28)/256),256)/2^2),2)*MOD(INT(MOD(INT((F28)/256),256)/2^2),2)*4+MOD(INT(MOD(INT((D28)/256),256)/2^3),2)*MOD(INT(MOD(INT((F28)/256),256)/2^3),2)*8+MOD(INT(MOD(INT((D28)/256),256)/2^4),2)*MOD(INT(MOD(INT((F28)/256),256)/2^4),2)*16+MOD(INT(MOD(INT((D28)/256),256)/2^5),2)*MOD(INT(MOD(INT((F28)/256),256)/2^5),2)*32+MOD(INT(MOD(INT((D28)/256),256)/2^6),2)*MOD(INT(MOD(INT((F28)/256),256)/2^6),2)*64+MOD(INT(MOD(INT((D28)/256),256)/2^7),2)*MOD(INT(MOD(INT((F28)/256),256)/2^7),2)*128)*256+(MOD(INT(MOD(INT((D28)/65536),256)/2^0),2)*MOD(INT(MOD(INT((F28)/65536),256)/2^0),2)*1+MOD(INT(MOD(INT((D28)/65536),256)/2^1),2)*MOD(INT(MOD(INT((F28)/65536),256)/2^1),2)*2+MOD(INT(MOD(INT((D28)/65536),256)/2^2),2)*MOD(INT(MOD(INT((F28)/65536),256)/2^2),2)*4+MOD(INT(MOD(INT((D28)/65536),256)/2^3),2)*MOD(INT(MOD(INT((F28)/65536),256)/2^3),2)*8+MOD(INT(MOD(INT((D28)/65536),256)/2^4),2)*MOD(INT(MOD(INT((F28)/65536),256)/2^4),2)*16+MOD(INT(MOD(INT((D28)/65536),256)/2^5),2)*MOD(INT(MOD(INT((F28)/65536),256)/2^5),2)*32+MOD(INT(MOD(INT((D28)/65536),256)/2^6),2)*MOD(INT(MOD(INT((F28)/65536),256)/2^6),2)*64+MOD(INT(MOD(INT((D28)/65536),256)/2^7),2)*MOD(INT(MOD(INT((F28)/65536),256)/2^7),2)*128)*65536+(MOD(INT(MOD(INT((D28)/16777216),256)/2^0),2)*MOD(INT(MOD(INT((F28)/16777216),256)/2^0),2)*1+MOD(INT(MOD(INT((D28)/16777216),256)/2^1),2)*MOD(INT(MOD(INT((F28)/16777216),256)/2^1),2)*2+MOD(INT(MOD(INT((D28)/16777216),256)/2^2),2)*MOD(INT(MOD(INT((F28)/16777216),256)/2^2),2)*4+MOD(INT(MOD(INT((D28)/16777216),256)/2^3),2)*MOD(INT(MOD(INT((F28)/16777216),256)/2^3),2)*8+MOD(INT(MOD(INT((D28)/16777216),256)/2^4),2)*MOD(INT(MOD(INT((F28)/16777216),256)/2^4),2)*16+MOD(INT(MOD(INT((D28)/16777216),256)/2^5),2)*MOD(INT(MOD(INT((F28)/16777216),256)/2^5),2)*32+MOD(INT(MOD(INT((D28)/16777216),256)/2^6),2)*MOD(INT(MOD(INT((F28)/16777216),256)/2^6),2)*64+MOD(INT(MOD(INT((D28)/16777216),256)/2^7),2)*MOD(INT(MOD(INT((F28)/16777216),256)/2^7),2)*128)*16777216)</f>
        <v>8687138</v>
      </c>
      <c r="H29" s="36" t="n">
        <f aca="false">((MOD(INT(MOD(INT((E28)/1),256)/2^0),2)*MOD(INT(MOD(INT(((4294967295-F28))/1),256)/2^0),2)*1+MOD(INT(MOD(INT((E28)/1),256)/2^1),2)*MOD(INT(MOD(INT(((4294967295-F28))/1),256)/2^1),2)*2+MOD(INT(MOD(INT((E28)/1),256)/2^2),2)*MOD(INT(MOD(INT(((4294967295-F28))/1),256)/2^2),2)*4+MOD(INT(MOD(INT((E28)/1),256)/2^3),2)*MOD(INT(MOD(INT(((4294967295-F28))/1),256)/2^3),2)*8+MOD(INT(MOD(INT((E28)/1),256)/2^4),2)*MOD(INT(MOD(INT(((4294967295-F28))/1),256)/2^4),2)*16+MOD(INT(MOD(INT((E28)/1),256)/2^5),2)*MOD(INT(MOD(INT(((4294967295-F28))/1),256)/2^5),2)*32+MOD(INT(MOD(INT((E28)/1),256)/2^6),2)*MOD(INT(MOD(INT(((4294967295-F28))/1),256)/2^6),2)*64+MOD(INT(MOD(INT((E28)/1),256)/2^7),2)*MOD(INT(MOD(INT(((4294967295-F28))/1),256)/2^7),2)*128)*1+(MOD(INT(MOD(INT((E28)/256),256)/2^0),2)*MOD(INT(MOD(INT(((4294967295-F28))/256),256)/2^0),2)*1+MOD(INT(MOD(INT((E28)/256),256)/2^1),2)*MOD(INT(MOD(INT(((4294967295-F28))/256),256)/2^1),2)*2+MOD(INT(MOD(INT((E28)/256),256)/2^2),2)*MOD(INT(MOD(INT(((4294967295-F28))/256),256)/2^2),2)*4+MOD(INT(MOD(INT((E28)/256),256)/2^3),2)*MOD(INT(MOD(INT(((4294967295-F28))/256),256)/2^3),2)*8+MOD(INT(MOD(INT((E28)/256),256)/2^4),2)*MOD(INT(MOD(INT(((4294967295-F28))/256),256)/2^4),2)*16+MOD(INT(MOD(INT((E28)/256),256)/2^5),2)*MOD(INT(MOD(INT(((4294967295-F28))/256),256)/2^5),2)*32+MOD(INT(MOD(INT((E28)/256),256)/2^6),2)*MOD(INT(MOD(INT(((4294967295-F28))/256),256)/2^6),2)*64+MOD(INT(MOD(INT((E28)/256),256)/2^7),2)*MOD(INT(MOD(INT(((4294967295-F28))/256),256)/2^7),2)*128)*256+(MOD(INT(MOD(INT((E28)/65536),256)/2^0),2)*MOD(INT(MOD(INT(((4294967295-F28))/65536),256)/2^0),2)*1+MOD(INT(MOD(INT((E28)/65536),256)/2^1),2)*MOD(INT(MOD(INT(((4294967295-F28))/65536),256)/2^1),2)*2+MOD(INT(MOD(INT((E28)/65536),256)/2^2),2)*MOD(INT(MOD(INT(((4294967295-F28))/65536),256)/2^2),2)*4+MOD(INT(MOD(INT((E28)/65536),256)/2^3),2)*MOD(INT(MOD(INT(((4294967295-F28))/65536),256)/2^3),2)*8+MOD(INT(MOD(INT((E28)/65536),256)/2^4),2)*MOD(INT(MOD(INT(((4294967295-F28))/65536),256)/2^4),2)*16+MOD(INT(MOD(INT((E28)/65536),256)/2^5),2)*MOD(INT(MOD(INT(((4294967295-F28))/65536),256)/2^5),2)*32+MOD(INT(MOD(INT((E28)/65536),256)/2^6),2)*MOD(INT(MOD(INT(((4294967295-F28))/65536),256)/2^6),2)*64+MOD(INT(MOD(INT((E28)/65536),256)/2^7),2)*MOD(INT(MOD(INT(((4294967295-F28))/65536),256)/2^7),2)*128)*65536+(MOD(INT(MOD(INT((E28)/16777216),256)/2^0),2)*MOD(INT(MOD(INT(((4294967295-F28))/16777216),256)/2^0),2)*1+MOD(INT(MOD(INT((E28)/16777216),256)/2^1),2)*MOD(INT(MOD(INT(((4294967295-F28))/16777216),256)/2^1),2)*2+MOD(INT(MOD(INT((E28)/16777216),256)/2^2),2)*MOD(INT(MOD(INT(((4294967295-F28))/16777216),256)/2^2),2)*4+MOD(INT(MOD(INT((E28)/16777216),256)/2^3),2)*MOD(INT(MOD(INT(((4294967295-F28))/16777216),256)/2^3),2)*8+MOD(INT(MOD(INT((E28)/16777216),256)/2^4),2)*MOD(INT(MOD(INT(((4294967295-F28))/16777216),256)/2^4),2)*16+MOD(INT(MOD(INT((E28)/16777216),256)/2^5),2)*MOD(INT(MOD(INT(((4294967295-F28))/16777216),256)/2^5),2)*32+MOD(INT(MOD(INT((E28)/16777216),256)/2^6),2)*MOD(INT(MOD(INT(((4294967295-F28))/16777216),256)/2^6),2)*64+MOD(INT(MOD(INT((E28)/16777216),256)/2^7),2)*MOD(INT(MOD(INT(((4294967295-F28))/16777216),256)/2^7),2)*128)*16777216)</f>
        <v>1077043408</v>
      </c>
      <c r="I29" s="37" t="s">
        <v>138</v>
      </c>
      <c r="J29" s="39" t="n">
        <f aca="false">MOD(G29+H29,4294967296)</f>
        <v>1085730546</v>
      </c>
      <c r="K29" s="36" t="n">
        <f aca="false">(0)+(0)*256+(0)*65536+(0)*16777216</f>
        <v>0</v>
      </c>
      <c r="L29" s="36" t="n">
        <f aca="false">'📦 MD5 Constants'!C27</f>
        <v>3889429448</v>
      </c>
      <c r="M29" s="36" t="n">
        <f aca="false">'📦 MD5 Constants'!H27</f>
        <v>20</v>
      </c>
      <c r="N29" s="36" t="n">
        <f aca="false">MOD(C28+J29+K29+'📦 MD5 Constants'!C27,4294967296)</f>
        <v>3416409966</v>
      </c>
      <c r="O29" s="36" t="n">
        <f aca="false">MOD(MOD(N29,2^12)*2^20+INT(N29/2^12),4294967296)</f>
        <v>1995225636</v>
      </c>
      <c r="P29" s="39" t="n">
        <f aca="false">D29</f>
        <v>986286359</v>
      </c>
      <c r="Q29" s="34" t="s">
        <v>162</v>
      </c>
    </row>
    <row r="30" customFormat="false" ht="13.5" hidden="false" customHeight="true" outlineLevel="0" collapsed="false">
      <c r="B30" s="38" t="n">
        <v>25</v>
      </c>
      <c r="C30" s="39" t="n">
        <f aca="false">F29</f>
        <v>1077076176</v>
      </c>
      <c r="D30" s="39" t="n">
        <f aca="false">MOD(D29+O30,4294967296)</f>
        <v>2166944141</v>
      </c>
      <c r="E30" s="39" t="n">
        <f aca="false">D29</f>
        <v>986286359</v>
      </c>
      <c r="F30" s="39" t="n">
        <f aca="false">E29</f>
        <v>3286028019</v>
      </c>
      <c r="G30" s="36" t="n">
        <f aca="false">((MOD(INT(MOD(INT((D29)/1),256)/2^0),2)*MOD(INT(MOD(INT((F29)/1),256)/2^0),2)*1+MOD(INT(MOD(INT((D29)/1),256)/2^1),2)*MOD(INT(MOD(INT((F29)/1),256)/2^1),2)*2+MOD(INT(MOD(INT((D29)/1),256)/2^2),2)*MOD(INT(MOD(INT((F29)/1),256)/2^2),2)*4+MOD(INT(MOD(INT((D29)/1),256)/2^3),2)*MOD(INT(MOD(INT((F29)/1),256)/2^3),2)*8+MOD(INT(MOD(INT((D29)/1),256)/2^4),2)*MOD(INT(MOD(INT((F29)/1),256)/2^4),2)*16+MOD(INT(MOD(INT((D29)/1),256)/2^5),2)*MOD(INT(MOD(INT((F29)/1),256)/2^5),2)*32+MOD(INT(MOD(INT((D29)/1),256)/2^6),2)*MOD(INT(MOD(INT((F29)/1),256)/2^6),2)*64+MOD(INT(MOD(INT((D29)/1),256)/2^7),2)*MOD(INT(MOD(INT((F29)/1),256)/2^7),2)*128)*1+(MOD(INT(MOD(INT((D29)/256),256)/2^0),2)*MOD(INT(MOD(INT((F29)/256),256)/2^0),2)*1+MOD(INT(MOD(INT((D29)/256),256)/2^1),2)*MOD(INT(MOD(INT((F29)/256),256)/2^1),2)*2+MOD(INT(MOD(INT((D29)/256),256)/2^2),2)*MOD(INT(MOD(INT((F29)/256),256)/2^2),2)*4+MOD(INT(MOD(INT((D29)/256),256)/2^3),2)*MOD(INT(MOD(INT((F29)/256),256)/2^3),2)*8+MOD(INT(MOD(INT((D29)/256),256)/2^4),2)*MOD(INT(MOD(INT((F29)/256),256)/2^4),2)*16+MOD(INT(MOD(INT((D29)/256),256)/2^5),2)*MOD(INT(MOD(INT((F29)/256),256)/2^5),2)*32+MOD(INT(MOD(INT((D29)/256),256)/2^6),2)*MOD(INT(MOD(INT((F29)/256),256)/2^6),2)*64+MOD(INT(MOD(INT((D29)/256),256)/2^7),2)*MOD(INT(MOD(INT((F29)/256),256)/2^7),2)*128)*256+(MOD(INT(MOD(INT((D29)/65536),256)/2^0),2)*MOD(INT(MOD(INT((F29)/65536),256)/2^0),2)*1+MOD(INT(MOD(INT((D29)/65536),256)/2^1),2)*MOD(INT(MOD(INT((F29)/65536),256)/2^1),2)*2+MOD(INT(MOD(INT((D29)/65536),256)/2^2),2)*MOD(INT(MOD(INT((F29)/65536),256)/2^2),2)*4+MOD(INT(MOD(INT((D29)/65536),256)/2^3),2)*MOD(INT(MOD(INT((F29)/65536),256)/2^3),2)*8+MOD(INT(MOD(INT((D29)/65536),256)/2^4),2)*MOD(INT(MOD(INT((F29)/65536),256)/2^4),2)*16+MOD(INT(MOD(INT((D29)/65536),256)/2^5),2)*MOD(INT(MOD(INT((F29)/65536),256)/2^5),2)*32+MOD(INT(MOD(INT((D29)/65536),256)/2^6),2)*MOD(INT(MOD(INT((F29)/65536),256)/2^6),2)*64+MOD(INT(MOD(INT((D29)/65536),256)/2^7),2)*MOD(INT(MOD(INT((F29)/65536),256)/2^7),2)*128)*65536+(MOD(INT(MOD(INT((D29)/16777216),256)/2^0),2)*MOD(INT(MOD(INT((F29)/16777216),256)/2^0),2)*1+MOD(INT(MOD(INT((D29)/16777216),256)/2^1),2)*MOD(INT(MOD(INT((F29)/16777216),256)/2^1),2)*2+MOD(INT(MOD(INT((D29)/16777216),256)/2^2),2)*MOD(INT(MOD(INT((F29)/16777216),256)/2^2),2)*4+MOD(INT(MOD(INT((D29)/16777216),256)/2^3),2)*MOD(INT(MOD(INT((F29)/16777216),256)/2^3),2)*8+MOD(INT(MOD(INT((D29)/16777216),256)/2^4),2)*MOD(INT(MOD(INT((F29)/16777216),256)/2^4),2)*16+MOD(INT(MOD(INT((D29)/16777216),256)/2^5),2)*MOD(INT(MOD(INT((F29)/16777216),256)/2^5),2)*32+MOD(INT(MOD(INT((D29)/16777216),256)/2^6),2)*MOD(INT(MOD(INT((F29)/16777216),256)/2^6),2)*64+MOD(INT(MOD(INT((D29)/16777216),256)/2^7),2)*MOD(INT(MOD(INT((F29)/16777216),256)/2^7),2)*128)*16777216)</f>
        <v>32784</v>
      </c>
      <c r="H30" s="36" t="n">
        <f aca="false">((MOD(INT(MOD(INT((E29)/1),256)/2^0),2)*MOD(INT(MOD(INT(((4294967295-F29))/1),256)/2^0),2)*1+MOD(INT(MOD(INT((E29)/1),256)/2^1),2)*MOD(INT(MOD(INT(((4294967295-F29))/1),256)/2^1),2)*2+MOD(INT(MOD(INT((E29)/1),256)/2^2),2)*MOD(INT(MOD(INT(((4294967295-F29))/1),256)/2^2),2)*4+MOD(INT(MOD(INT((E29)/1),256)/2^3),2)*MOD(INT(MOD(INT(((4294967295-F29))/1),256)/2^3),2)*8+MOD(INT(MOD(INT((E29)/1),256)/2^4),2)*MOD(INT(MOD(INT(((4294967295-F29))/1),256)/2^4),2)*16+MOD(INT(MOD(INT((E29)/1),256)/2^5),2)*MOD(INT(MOD(INT(((4294967295-F29))/1),256)/2^5),2)*32+MOD(INT(MOD(INT((E29)/1),256)/2^6),2)*MOD(INT(MOD(INT(((4294967295-F29))/1),256)/2^6),2)*64+MOD(INT(MOD(INT((E29)/1),256)/2^7),2)*MOD(INT(MOD(INT(((4294967295-F29))/1),256)/2^7),2)*128)*1+(MOD(INT(MOD(INT((E29)/256),256)/2^0),2)*MOD(INT(MOD(INT(((4294967295-F29))/256),256)/2^0),2)*1+MOD(INT(MOD(INT((E29)/256),256)/2^1),2)*MOD(INT(MOD(INT(((4294967295-F29))/256),256)/2^1),2)*2+MOD(INT(MOD(INT((E29)/256),256)/2^2),2)*MOD(INT(MOD(INT(((4294967295-F29))/256),256)/2^2),2)*4+MOD(INT(MOD(INT((E29)/256),256)/2^3),2)*MOD(INT(MOD(INT(((4294967295-F29))/256),256)/2^3),2)*8+MOD(INT(MOD(INT((E29)/256),256)/2^4),2)*MOD(INT(MOD(INT(((4294967295-F29))/256),256)/2^4),2)*16+MOD(INT(MOD(INT((E29)/256),256)/2^5),2)*MOD(INT(MOD(INT(((4294967295-F29))/256),256)/2^5),2)*32+MOD(INT(MOD(INT((E29)/256),256)/2^6),2)*MOD(INT(MOD(INT(((4294967295-F29))/256),256)/2^6),2)*64+MOD(INT(MOD(INT((E29)/256),256)/2^7),2)*MOD(INT(MOD(INT(((4294967295-F29))/256),256)/2^7),2)*128)*256+(MOD(INT(MOD(INT((E29)/65536),256)/2^0),2)*MOD(INT(MOD(INT(((4294967295-F29))/65536),256)/2^0),2)*1+MOD(INT(MOD(INT((E29)/65536),256)/2^1),2)*MOD(INT(MOD(INT(((4294967295-F29))/65536),256)/2^1),2)*2+MOD(INT(MOD(INT((E29)/65536),256)/2^2),2)*MOD(INT(MOD(INT(((4294967295-F29))/65536),256)/2^2),2)*4+MOD(INT(MOD(INT((E29)/65536),256)/2^3),2)*MOD(INT(MOD(INT(((4294967295-F29))/65536),256)/2^3),2)*8+MOD(INT(MOD(INT((E29)/65536),256)/2^4),2)*MOD(INT(MOD(INT(((4294967295-F29))/65536),256)/2^4),2)*16+MOD(INT(MOD(INT((E29)/65536),256)/2^5),2)*MOD(INT(MOD(INT(((4294967295-F29))/65536),256)/2^5),2)*32+MOD(INT(MOD(INT((E29)/65536),256)/2^6),2)*MOD(INT(MOD(INT(((4294967295-F29))/65536),256)/2^6),2)*64+MOD(INT(MOD(INT((E29)/65536),256)/2^7),2)*MOD(INT(MOD(INT(((4294967295-F29))/65536),256)/2^7),2)*128)*65536+(MOD(INT(MOD(INT((E29)/16777216),256)/2^0),2)*MOD(INT(MOD(INT(((4294967295-F29))/16777216),256)/2^0),2)*1+MOD(INT(MOD(INT((E29)/16777216),256)/2^1),2)*MOD(INT(MOD(INT(((4294967295-F29))/16777216),256)/2^1),2)*2+MOD(INT(MOD(INT((E29)/16777216),256)/2^2),2)*MOD(INT(MOD(INT(((4294967295-F29))/16777216),256)/2^2),2)*4+MOD(INT(MOD(INT((E29)/16777216),256)/2^3),2)*MOD(INT(MOD(INT(((4294967295-F29))/16777216),256)/2^3),2)*8+MOD(INT(MOD(INT((E29)/16777216),256)/2^4),2)*MOD(INT(MOD(INT(((4294967295-F29))/16777216),256)/2^4),2)*16+MOD(INT(MOD(INT((E29)/16777216),256)/2^5),2)*MOD(INT(MOD(INT(((4294967295-F29))/16777216),256)/2^5),2)*32+MOD(INT(MOD(INT((E29)/16777216),256)/2^6),2)*MOD(INT(MOD(INT(((4294967295-F29))/16777216),256)/2^6),2)*64+MOD(INT(MOD(INT((E29)/16777216),256)/2^7),2)*MOD(INT(MOD(INT(((4294967295-F29))/16777216),256)/2^7),2)*128)*16777216)</f>
        <v>2211188259</v>
      </c>
      <c r="I30" s="37" t="s">
        <v>138</v>
      </c>
      <c r="J30" s="39" t="n">
        <f aca="false">MOD(G30+H30,4294967296)</f>
        <v>2211221043</v>
      </c>
      <c r="K30" s="36" t="n">
        <f aca="false">(0)+(0)*256+(0)*65536+(0)*16777216</f>
        <v>0</v>
      </c>
      <c r="L30" s="36" t="n">
        <f aca="false">'📦 MD5 Constants'!C28</f>
        <v>568446438</v>
      </c>
      <c r="M30" s="36" t="n">
        <f aca="false">'📦 MD5 Constants'!H28</f>
        <v>5</v>
      </c>
      <c r="N30" s="36" t="n">
        <f aca="false">MOD(C29+J30+K30+'📦 MD5 Constants'!C28,4294967296)</f>
        <v>2989685571</v>
      </c>
      <c r="O30" s="36" t="n">
        <f aca="false">MOD(MOD(N30,2^27)*2^5+INT(N30/2^27),4294967296)</f>
        <v>1180657782</v>
      </c>
      <c r="P30" s="39" t="n">
        <f aca="false">D30</f>
        <v>2166944141</v>
      </c>
      <c r="Q30" s="34" t="s">
        <v>163</v>
      </c>
    </row>
    <row r="31" customFormat="false" ht="13.5" hidden="false" customHeight="true" outlineLevel="0" collapsed="false">
      <c r="B31" s="38" t="n">
        <v>26</v>
      </c>
      <c r="C31" s="39" t="n">
        <f aca="false">F30</f>
        <v>3286028019</v>
      </c>
      <c r="D31" s="39" t="n">
        <f aca="false">MOD(D30+O31,4294967296)</f>
        <v>1753061637</v>
      </c>
      <c r="E31" s="39" t="n">
        <f aca="false">D30</f>
        <v>2166944141</v>
      </c>
      <c r="F31" s="39" t="n">
        <f aca="false">E30</f>
        <v>986286359</v>
      </c>
      <c r="G31" s="36" t="n">
        <f aca="false">((MOD(INT(MOD(INT((D30)/1),256)/2^0),2)*MOD(INT(MOD(INT((F30)/1),256)/2^0),2)*1+MOD(INT(MOD(INT((D30)/1),256)/2^1),2)*MOD(INT(MOD(INT((F30)/1),256)/2^1),2)*2+MOD(INT(MOD(INT((D30)/1),256)/2^2),2)*MOD(INT(MOD(INT((F30)/1),256)/2^2),2)*4+MOD(INT(MOD(INT((D30)/1),256)/2^3),2)*MOD(INT(MOD(INT((F30)/1),256)/2^3),2)*8+MOD(INT(MOD(INT((D30)/1),256)/2^4),2)*MOD(INT(MOD(INT((F30)/1),256)/2^4),2)*16+MOD(INT(MOD(INT((D30)/1),256)/2^5),2)*MOD(INT(MOD(INT((F30)/1),256)/2^5),2)*32+MOD(INT(MOD(INT((D30)/1),256)/2^6),2)*MOD(INT(MOD(INT((F30)/1),256)/2^6),2)*64+MOD(INT(MOD(INT((D30)/1),256)/2^7),2)*MOD(INT(MOD(INT((F30)/1),256)/2^7),2)*128)*1+(MOD(INT(MOD(INT((D30)/256),256)/2^0),2)*MOD(INT(MOD(INT((F30)/256),256)/2^0),2)*1+MOD(INT(MOD(INT((D30)/256),256)/2^1),2)*MOD(INT(MOD(INT((F30)/256),256)/2^1),2)*2+MOD(INT(MOD(INT((D30)/256),256)/2^2),2)*MOD(INT(MOD(INT((F30)/256),256)/2^2),2)*4+MOD(INT(MOD(INT((D30)/256),256)/2^3),2)*MOD(INT(MOD(INT((F30)/256),256)/2^3),2)*8+MOD(INT(MOD(INT((D30)/256),256)/2^4),2)*MOD(INT(MOD(INT((F30)/256),256)/2^4),2)*16+MOD(INT(MOD(INT((D30)/256),256)/2^5),2)*MOD(INT(MOD(INT((F30)/256),256)/2^5),2)*32+MOD(INT(MOD(INT((D30)/256),256)/2^6),2)*MOD(INT(MOD(INT((F30)/256),256)/2^6),2)*64+MOD(INT(MOD(INT((D30)/256),256)/2^7),2)*MOD(INT(MOD(INT((F30)/256),256)/2^7),2)*128)*256+(MOD(INT(MOD(INT((D30)/65536),256)/2^0),2)*MOD(INT(MOD(INT((F30)/65536),256)/2^0),2)*1+MOD(INT(MOD(INT((D30)/65536),256)/2^1),2)*MOD(INT(MOD(INT((F30)/65536),256)/2^1),2)*2+MOD(INT(MOD(INT((D30)/65536),256)/2^2),2)*MOD(INT(MOD(INT((F30)/65536),256)/2^2),2)*4+MOD(INT(MOD(INT((D30)/65536),256)/2^3),2)*MOD(INT(MOD(INT((F30)/65536),256)/2^3),2)*8+MOD(INT(MOD(INT((D30)/65536),256)/2^4),2)*MOD(INT(MOD(INT((F30)/65536),256)/2^4),2)*16+MOD(INT(MOD(INT((D30)/65536),256)/2^5),2)*MOD(INT(MOD(INT((F30)/65536),256)/2^5),2)*32+MOD(INT(MOD(INT((D30)/65536),256)/2^6),2)*MOD(INT(MOD(INT((F30)/65536),256)/2^6),2)*64+MOD(INT(MOD(INT((D30)/65536),256)/2^7),2)*MOD(INT(MOD(INT((F30)/65536),256)/2^7),2)*128)*65536+(MOD(INT(MOD(INT((D30)/16777216),256)/2^0),2)*MOD(INT(MOD(INT((F30)/16777216),256)/2^0),2)*1+MOD(INT(MOD(INT((D30)/16777216),256)/2^1),2)*MOD(INT(MOD(INT((F30)/16777216),256)/2^1),2)*2+MOD(INT(MOD(INT((D30)/16777216),256)/2^2),2)*MOD(INT(MOD(INT((F30)/16777216),256)/2^2),2)*4+MOD(INT(MOD(INT((D30)/16777216),256)/2^3),2)*MOD(INT(MOD(INT((F30)/16777216),256)/2^3),2)*8+MOD(INT(MOD(INT((D30)/16777216),256)/2^4),2)*MOD(INT(MOD(INT((F30)/16777216),256)/2^4),2)*16+MOD(INT(MOD(INT((D30)/16777216),256)/2^5),2)*MOD(INT(MOD(INT((F30)/16777216),256)/2^5),2)*32+MOD(INT(MOD(INT((D30)/16777216),256)/2^6),2)*MOD(INT(MOD(INT((F30)/16777216),256)/2^6),2)*64+MOD(INT(MOD(INT((D30)/16777216),256)/2^7),2)*MOD(INT(MOD(INT((F30)/16777216),256)/2^7),2)*128)*16777216)</f>
        <v>2164834433</v>
      </c>
      <c r="H31" s="36" t="n">
        <f aca="false">((MOD(INT(MOD(INT((E30)/1),256)/2^0),2)*MOD(INT(MOD(INT(((4294967295-F30))/1),256)/2^0),2)*1+MOD(INT(MOD(INT((E30)/1),256)/2^1),2)*MOD(INT(MOD(INT(((4294967295-F30))/1),256)/2^1),2)*2+MOD(INT(MOD(INT((E30)/1),256)/2^2),2)*MOD(INT(MOD(INT(((4294967295-F30))/1),256)/2^2),2)*4+MOD(INT(MOD(INT((E30)/1),256)/2^3),2)*MOD(INT(MOD(INT(((4294967295-F30))/1),256)/2^3),2)*8+MOD(INT(MOD(INT((E30)/1),256)/2^4),2)*MOD(INT(MOD(INT(((4294967295-F30))/1),256)/2^4),2)*16+MOD(INT(MOD(INT((E30)/1),256)/2^5),2)*MOD(INT(MOD(INT(((4294967295-F30))/1),256)/2^5),2)*32+MOD(INT(MOD(INT((E30)/1),256)/2^6),2)*MOD(INT(MOD(INT(((4294967295-F30))/1),256)/2^6),2)*64+MOD(INT(MOD(INT((E30)/1),256)/2^7),2)*MOD(INT(MOD(INT(((4294967295-F30))/1),256)/2^7),2)*128)*1+(MOD(INT(MOD(INT((E30)/256),256)/2^0),2)*MOD(INT(MOD(INT(((4294967295-F30))/256),256)/2^0),2)*1+MOD(INT(MOD(INT((E30)/256),256)/2^1),2)*MOD(INT(MOD(INT(((4294967295-F30))/256),256)/2^1),2)*2+MOD(INT(MOD(INT((E30)/256),256)/2^2),2)*MOD(INT(MOD(INT(((4294967295-F30))/256),256)/2^2),2)*4+MOD(INT(MOD(INT((E30)/256),256)/2^3),2)*MOD(INT(MOD(INT(((4294967295-F30))/256),256)/2^3),2)*8+MOD(INT(MOD(INT((E30)/256),256)/2^4),2)*MOD(INT(MOD(INT(((4294967295-F30))/256),256)/2^4),2)*16+MOD(INT(MOD(INT((E30)/256),256)/2^5),2)*MOD(INT(MOD(INT(((4294967295-F30))/256),256)/2^5),2)*32+MOD(INT(MOD(INT((E30)/256),256)/2^6),2)*MOD(INT(MOD(INT(((4294967295-F30))/256),256)/2^6),2)*64+MOD(INT(MOD(INT((E30)/256),256)/2^7),2)*MOD(INT(MOD(INT(((4294967295-F30))/256),256)/2^7),2)*128)*256+(MOD(INT(MOD(INT((E30)/65536),256)/2^0),2)*MOD(INT(MOD(INT(((4294967295-F30))/65536),256)/2^0),2)*1+MOD(INT(MOD(INT((E30)/65536),256)/2^1),2)*MOD(INT(MOD(INT(((4294967295-F30))/65536),256)/2^1),2)*2+MOD(INT(MOD(INT((E30)/65536),256)/2^2),2)*MOD(INT(MOD(INT(((4294967295-F30))/65536),256)/2^2),2)*4+MOD(INT(MOD(INT((E30)/65536),256)/2^3),2)*MOD(INT(MOD(INT(((4294967295-F30))/65536),256)/2^3),2)*8+MOD(INT(MOD(INT((E30)/65536),256)/2^4),2)*MOD(INT(MOD(INT(((4294967295-F30))/65536),256)/2^4),2)*16+MOD(INT(MOD(INT((E30)/65536),256)/2^5),2)*MOD(INT(MOD(INT(((4294967295-F30))/65536),256)/2^5),2)*32+MOD(INT(MOD(INT((E30)/65536),256)/2^6),2)*MOD(INT(MOD(INT(((4294967295-F30))/65536),256)/2^6),2)*64+MOD(INT(MOD(INT((E30)/65536),256)/2^7),2)*MOD(INT(MOD(INT(((4294967295-F30))/65536),256)/2^7),2)*128)*65536+(MOD(INT(MOD(INT((E30)/16777216),256)/2^0),2)*MOD(INT(MOD(INT(((4294967295-F30))/16777216),256)/2^0),2)*1+MOD(INT(MOD(INT((E30)/16777216),256)/2^1),2)*MOD(INT(MOD(INT(((4294967295-F30))/16777216),256)/2^1),2)*2+MOD(INT(MOD(INT((E30)/16777216),256)/2^2),2)*MOD(INT(MOD(INT(((4294967295-F30))/16777216),256)/2^2),2)*4+MOD(INT(MOD(INT((E30)/16777216),256)/2^3),2)*MOD(INT(MOD(INT(((4294967295-F30))/16777216),256)/2^3),2)*8+MOD(INT(MOD(INT((E30)/16777216),256)/2^4),2)*MOD(INT(MOD(INT(((4294967295-F30))/16777216),256)/2^4),2)*16+MOD(INT(MOD(INT((E30)/16777216),256)/2^5),2)*MOD(INT(MOD(INT(((4294967295-F30))/16777216),256)/2^5),2)*32+MOD(INT(MOD(INT((E30)/16777216),256)/2^6),2)*MOD(INT(MOD(INT(((4294967295-F30))/16777216),256)/2^6),2)*64+MOD(INT(MOD(INT((E30)/16777216),256)/2^7),2)*MOD(INT(MOD(INT(((4294967295-F30))/16777216),256)/2^7),2)*128)*16777216)</f>
        <v>939589892</v>
      </c>
      <c r="I31" s="37" t="s">
        <v>138</v>
      </c>
      <c r="J31" s="39" t="n">
        <f aca="false">MOD(G31+H31,4294967296)</f>
        <v>3104424325</v>
      </c>
      <c r="K31" s="36" t="n">
        <f aca="false">(MOD(LEN('🔐 MD5'!B5)*8,256))+(MOD(INT(LEN('🔐 MD5'!B5)*8/256),256))*256+(MOD(INT(LEN('🔐 MD5'!B5)*8/65536),256))*65536+(MOD(INT(LEN('🔐 MD5'!B5)*8/16777216),256))*16777216</f>
        <v>40</v>
      </c>
      <c r="L31" s="36" t="n">
        <f aca="false">'📦 MD5 Constants'!C29</f>
        <v>3275163606</v>
      </c>
      <c r="M31" s="36" t="n">
        <f aca="false">'📦 MD5 Constants'!H29</f>
        <v>9</v>
      </c>
      <c r="N31" s="36" t="n">
        <f aca="false">MOD(C30+J31+K31+'📦 MD5 Constants'!C29,4294967296)</f>
        <v>3161696851</v>
      </c>
      <c r="O31" s="36" t="n">
        <f aca="false">MOD(MOD(N31,2^23)*2^9+INT(N31/2^23),4294967296)</f>
        <v>3881084792</v>
      </c>
      <c r="P31" s="39" t="n">
        <f aca="false">D31</f>
        <v>1753061637</v>
      </c>
      <c r="Q31" s="34" t="s">
        <v>164</v>
      </c>
    </row>
    <row r="32" customFormat="false" ht="13.5" hidden="false" customHeight="true" outlineLevel="0" collapsed="false">
      <c r="B32" s="38" t="n">
        <v>27</v>
      </c>
      <c r="C32" s="39" t="n">
        <f aca="false">F31</f>
        <v>986286359</v>
      </c>
      <c r="D32" s="39" t="n">
        <f aca="false">MOD(D31+O32,4294967296)</f>
        <v>1577021835</v>
      </c>
      <c r="E32" s="39" t="n">
        <f aca="false">D31</f>
        <v>1753061637</v>
      </c>
      <c r="F32" s="39" t="n">
        <f aca="false">E31</f>
        <v>2166944141</v>
      </c>
      <c r="G32" s="36" t="n">
        <f aca="false">((MOD(INT(MOD(INT((D31)/1),256)/2^0),2)*MOD(INT(MOD(INT((F31)/1),256)/2^0),2)*1+MOD(INT(MOD(INT((D31)/1),256)/2^1),2)*MOD(INT(MOD(INT((F31)/1),256)/2^1),2)*2+MOD(INT(MOD(INT((D31)/1),256)/2^2),2)*MOD(INT(MOD(INT((F31)/1),256)/2^2),2)*4+MOD(INT(MOD(INT((D31)/1),256)/2^3),2)*MOD(INT(MOD(INT((F31)/1),256)/2^3),2)*8+MOD(INT(MOD(INT((D31)/1),256)/2^4),2)*MOD(INT(MOD(INT((F31)/1),256)/2^4),2)*16+MOD(INT(MOD(INT((D31)/1),256)/2^5),2)*MOD(INT(MOD(INT((F31)/1),256)/2^5),2)*32+MOD(INT(MOD(INT((D31)/1),256)/2^6),2)*MOD(INT(MOD(INT((F31)/1),256)/2^6),2)*64+MOD(INT(MOD(INT((D31)/1),256)/2^7),2)*MOD(INT(MOD(INT((F31)/1),256)/2^7),2)*128)*1+(MOD(INT(MOD(INT((D31)/256),256)/2^0),2)*MOD(INT(MOD(INT((F31)/256),256)/2^0),2)*1+MOD(INT(MOD(INT((D31)/256),256)/2^1),2)*MOD(INT(MOD(INT((F31)/256),256)/2^1),2)*2+MOD(INT(MOD(INT((D31)/256),256)/2^2),2)*MOD(INT(MOD(INT((F31)/256),256)/2^2),2)*4+MOD(INT(MOD(INT((D31)/256),256)/2^3),2)*MOD(INT(MOD(INT((F31)/256),256)/2^3),2)*8+MOD(INT(MOD(INT((D31)/256),256)/2^4),2)*MOD(INT(MOD(INT((F31)/256),256)/2^4),2)*16+MOD(INT(MOD(INT((D31)/256),256)/2^5),2)*MOD(INT(MOD(INT((F31)/256),256)/2^5),2)*32+MOD(INT(MOD(INT((D31)/256),256)/2^6),2)*MOD(INT(MOD(INT((F31)/256),256)/2^6),2)*64+MOD(INT(MOD(INT((D31)/256),256)/2^7),2)*MOD(INT(MOD(INT((F31)/256),256)/2^7),2)*128)*256+(MOD(INT(MOD(INT((D31)/65536),256)/2^0),2)*MOD(INT(MOD(INT((F31)/65536),256)/2^0),2)*1+MOD(INT(MOD(INT((D31)/65536),256)/2^1),2)*MOD(INT(MOD(INT((F31)/65536),256)/2^1),2)*2+MOD(INT(MOD(INT((D31)/65536),256)/2^2),2)*MOD(INT(MOD(INT((F31)/65536),256)/2^2),2)*4+MOD(INT(MOD(INT((D31)/65536),256)/2^3),2)*MOD(INT(MOD(INT((F31)/65536),256)/2^3),2)*8+MOD(INT(MOD(INT((D31)/65536),256)/2^4),2)*MOD(INT(MOD(INT((F31)/65536),256)/2^4),2)*16+MOD(INT(MOD(INT((D31)/65536),256)/2^5),2)*MOD(INT(MOD(INT((F31)/65536),256)/2^5),2)*32+MOD(INT(MOD(INT((D31)/65536),256)/2^6),2)*MOD(INT(MOD(INT((F31)/65536),256)/2^6),2)*64+MOD(INT(MOD(INT((D31)/65536),256)/2^7),2)*MOD(INT(MOD(INT((F31)/65536),256)/2^7),2)*128)*65536+(MOD(INT(MOD(INT((D31)/16777216),256)/2^0),2)*MOD(INT(MOD(INT((F31)/16777216),256)/2^0),2)*1+MOD(INT(MOD(INT((D31)/16777216),256)/2^1),2)*MOD(INT(MOD(INT((F31)/16777216),256)/2^1),2)*2+MOD(INT(MOD(INT((D31)/16777216),256)/2^2),2)*MOD(INT(MOD(INT((F31)/16777216),256)/2^2),2)*4+MOD(INT(MOD(INT((D31)/16777216),256)/2^3),2)*MOD(INT(MOD(INT((F31)/16777216),256)/2^3),2)*8+MOD(INT(MOD(INT((D31)/16777216),256)/2^4),2)*MOD(INT(MOD(INT((F31)/16777216),256)/2^4),2)*16+MOD(INT(MOD(INT((D31)/16777216),256)/2^5),2)*MOD(INT(MOD(INT((F31)/16777216),256)/2^5),2)*32+MOD(INT(MOD(INT((D31)/16777216),256)/2^6),2)*MOD(INT(MOD(INT((F31)/16777216),256)/2^6),2)*64+MOD(INT(MOD(INT((D31)/16777216),256)/2^7),2)*MOD(INT(MOD(INT((F31)/16777216),256)/2^7),2)*128)*16777216)</f>
        <v>675907845</v>
      </c>
      <c r="H32" s="36" t="n">
        <f aca="false">((MOD(INT(MOD(INT((E31)/1),256)/2^0),2)*MOD(INT(MOD(INT(((4294967295-F31))/1),256)/2^0),2)*1+MOD(INT(MOD(INT((E31)/1),256)/2^1),2)*MOD(INT(MOD(INT(((4294967295-F31))/1),256)/2^1),2)*2+MOD(INT(MOD(INT((E31)/1),256)/2^2),2)*MOD(INT(MOD(INT(((4294967295-F31))/1),256)/2^2),2)*4+MOD(INT(MOD(INT((E31)/1),256)/2^3),2)*MOD(INT(MOD(INT(((4294967295-F31))/1),256)/2^3),2)*8+MOD(INT(MOD(INT((E31)/1),256)/2^4),2)*MOD(INT(MOD(INT(((4294967295-F31))/1),256)/2^4),2)*16+MOD(INT(MOD(INT((E31)/1),256)/2^5),2)*MOD(INT(MOD(INT(((4294967295-F31))/1),256)/2^5),2)*32+MOD(INT(MOD(INT((E31)/1),256)/2^6),2)*MOD(INT(MOD(INT(((4294967295-F31))/1),256)/2^6),2)*64+MOD(INT(MOD(INT((E31)/1),256)/2^7),2)*MOD(INT(MOD(INT(((4294967295-F31))/1),256)/2^7),2)*128)*1+(MOD(INT(MOD(INT((E31)/256),256)/2^0),2)*MOD(INT(MOD(INT(((4294967295-F31))/256),256)/2^0),2)*1+MOD(INT(MOD(INT((E31)/256),256)/2^1),2)*MOD(INT(MOD(INT(((4294967295-F31))/256),256)/2^1),2)*2+MOD(INT(MOD(INT((E31)/256),256)/2^2),2)*MOD(INT(MOD(INT(((4294967295-F31))/256),256)/2^2),2)*4+MOD(INT(MOD(INT((E31)/256),256)/2^3),2)*MOD(INT(MOD(INT(((4294967295-F31))/256),256)/2^3),2)*8+MOD(INT(MOD(INT((E31)/256),256)/2^4),2)*MOD(INT(MOD(INT(((4294967295-F31))/256),256)/2^4),2)*16+MOD(INT(MOD(INT((E31)/256),256)/2^5),2)*MOD(INT(MOD(INT(((4294967295-F31))/256),256)/2^5),2)*32+MOD(INT(MOD(INT((E31)/256),256)/2^6),2)*MOD(INT(MOD(INT(((4294967295-F31))/256),256)/2^6),2)*64+MOD(INT(MOD(INT((E31)/256),256)/2^7),2)*MOD(INT(MOD(INT(((4294967295-F31))/256),256)/2^7),2)*128)*256+(MOD(INT(MOD(INT((E31)/65536),256)/2^0),2)*MOD(INT(MOD(INT(((4294967295-F31))/65536),256)/2^0),2)*1+MOD(INT(MOD(INT((E31)/65536),256)/2^1),2)*MOD(INT(MOD(INT(((4294967295-F31))/65536),256)/2^1),2)*2+MOD(INT(MOD(INT((E31)/65536),256)/2^2),2)*MOD(INT(MOD(INT(((4294967295-F31))/65536),256)/2^2),2)*4+MOD(INT(MOD(INT((E31)/65536),256)/2^3),2)*MOD(INT(MOD(INT(((4294967295-F31))/65536),256)/2^3),2)*8+MOD(INT(MOD(INT((E31)/65536),256)/2^4),2)*MOD(INT(MOD(INT(((4294967295-F31))/65536),256)/2^4),2)*16+MOD(INT(MOD(INT((E31)/65536),256)/2^5),2)*MOD(INT(MOD(INT(((4294967295-F31))/65536),256)/2^5),2)*32+MOD(INT(MOD(INT((E31)/65536),256)/2^6),2)*MOD(INT(MOD(INT(((4294967295-F31))/65536),256)/2^6),2)*64+MOD(INT(MOD(INT((E31)/65536),256)/2^7),2)*MOD(INT(MOD(INT(((4294967295-F31))/65536),256)/2^7),2)*128)*65536+(MOD(INT(MOD(INT((E31)/16777216),256)/2^0),2)*MOD(INT(MOD(INT(((4294967295-F31))/16777216),256)/2^0),2)*1+MOD(INT(MOD(INT((E31)/16777216),256)/2^1),2)*MOD(INT(MOD(INT(((4294967295-F31))/16777216),256)/2^1),2)*2+MOD(INT(MOD(INT((E31)/16777216),256)/2^2),2)*MOD(INT(MOD(INT(((4294967295-F31))/16777216),256)/2^2),2)*4+MOD(INT(MOD(INT((E31)/16777216),256)/2^3),2)*MOD(INT(MOD(INT(((4294967295-F31))/16777216),256)/2^3),2)*8+MOD(INT(MOD(INT((E31)/16777216),256)/2^4),2)*MOD(INT(MOD(INT(((4294967295-F31))/16777216),256)/2^4),2)*16+MOD(INT(MOD(INT((E31)/16777216),256)/2^5),2)*MOD(INT(MOD(INT(((4294967295-F31))/16777216),256)/2^5),2)*32+MOD(INT(MOD(INT((E31)/16777216),256)/2^6),2)*MOD(INT(MOD(INT(((4294967295-F31))/16777216),256)/2^6),2)*64+MOD(INT(MOD(INT((E31)/16777216),256)/2^7),2)*MOD(INT(MOD(INT(((4294967295-F31))/16777216),256)/2^7),2)*128)*16777216)</f>
        <v>2166386824</v>
      </c>
      <c r="I32" s="37" t="s">
        <v>138</v>
      </c>
      <c r="J32" s="39" t="n">
        <f aca="false">MOD(G32+H32,4294967296)</f>
        <v>2842294669</v>
      </c>
      <c r="K32" s="36" t="n">
        <f aca="false">(0)+(0)*256+(0)*65536+(0)*16777216</f>
        <v>0</v>
      </c>
      <c r="L32" s="36" t="n">
        <f aca="false">'📦 MD5 Constants'!C30</f>
        <v>4107603335</v>
      </c>
      <c r="M32" s="36" t="n">
        <f aca="false">'📦 MD5 Constants'!H30</f>
        <v>14</v>
      </c>
      <c r="N32" s="36" t="n">
        <f aca="false">MOD(C31+J32+K32+'📦 MD5 Constants'!C30,4294967296)</f>
        <v>1645991431</v>
      </c>
      <c r="O32" s="36" t="n">
        <f aca="false">MOD(MOD(N32,2^18)*2^14+INT(N32/2^18),4294967296)</f>
        <v>4118927494</v>
      </c>
      <c r="P32" s="39" t="n">
        <f aca="false">D32</f>
        <v>1577021835</v>
      </c>
      <c r="Q32" s="34" t="s">
        <v>165</v>
      </c>
    </row>
    <row r="33" customFormat="false" ht="13.5" hidden="false" customHeight="true" outlineLevel="0" collapsed="false">
      <c r="B33" s="38" t="n">
        <v>28</v>
      </c>
      <c r="C33" s="39" t="n">
        <f aca="false">F32</f>
        <v>2166944141</v>
      </c>
      <c r="D33" s="39" t="n">
        <f aca="false">MOD(D32+O33,4294967296)</f>
        <v>3604876188</v>
      </c>
      <c r="E33" s="39" t="n">
        <f aca="false">D32</f>
        <v>1577021835</v>
      </c>
      <c r="F33" s="39" t="n">
        <f aca="false">E32</f>
        <v>1753061637</v>
      </c>
      <c r="G33" s="36" t="n">
        <f aca="false">((MOD(INT(MOD(INT((D32)/1),256)/2^0),2)*MOD(INT(MOD(INT((F32)/1),256)/2^0),2)*1+MOD(INT(MOD(INT((D32)/1),256)/2^1),2)*MOD(INT(MOD(INT((F32)/1),256)/2^1),2)*2+MOD(INT(MOD(INT((D32)/1),256)/2^2),2)*MOD(INT(MOD(INT((F32)/1),256)/2^2),2)*4+MOD(INT(MOD(INT((D32)/1),256)/2^3),2)*MOD(INT(MOD(INT((F32)/1),256)/2^3),2)*8+MOD(INT(MOD(INT((D32)/1),256)/2^4),2)*MOD(INT(MOD(INT((F32)/1),256)/2^4),2)*16+MOD(INT(MOD(INT((D32)/1),256)/2^5),2)*MOD(INT(MOD(INT((F32)/1),256)/2^5),2)*32+MOD(INT(MOD(INT((D32)/1),256)/2^6),2)*MOD(INT(MOD(INT((F32)/1),256)/2^6),2)*64+MOD(INT(MOD(INT((D32)/1),256)/2^7),2)*MOD(INT(MOD(INT((F32)/1),256)/2^7),2)*128)*1+(MOD(INT(MOD(INT((D32)/256),256)/2^0),2)*MOD(INT(MOD(INT((F32)/256),256)/2^0),2)*1+MOD(INT(MOD(INT((D32)/256),256)/2^1),2)*MOD(INT(MOD(INT((F32)/256),256)/2^1),2)*2+MOD(INT(MOD(INT((D32)/256),256)/2^2),2)*MOD(INT(MOD(INT((F32)/256),256)/2^2),2)*4+MOD(INT(MOD(INT((D32)/256),256)/2^3),2)*MOD(INT(MOD(INT((F32)/256),256)/2^3),2)*8+MOD(INT(MOD(INT((D32)/256),256)/2^4),2)*MOD(INT(MOD(INT((F32)/256),256)/2^4),2)*16+MOD(INT(MOD(INT((D32)/256),256)/2^5),2)*MOD(INT(MOD(INT((F32)/256),256)/2^5),2)*32+MOD(INT(MOD(INT((D32)/256),256)/2^6),2)*MOD(INT(MOD(INT((F32)/256),256)/2^6),2)*64+MOD(INT(MOD(INT((D32)/256),256)/2^7),2)*MOD(INT(MOD(INT((F32)/256),256)/2^7),2)*128)*256+(MOD(INT(MOD(INT((D32)/65536),256)/2^0),2)*MOD(INT(MOD(INT((F32)/65536),256)/2^0),2)*1+MOD(INT(MOD(INT((D32)/65536),256)/2^1),2)*MOD(INT(MOD(INT((F32)/65536),256)/2^1),2)*2+MOD(INT(MOD(INT((D32)/65536),256)/2^2),2)*MOD(INT(MOD(INT((F32)/65536),256)/2^2),2)*4+MOD(INT(MOD(INT((D32)/65536),256)/2^3),2)*MOD(INT(MOD(INT((F32)/65536),256)/2^3),2)*8+MOD(INT(MOD(INT((D32)/65536),256)/2^4),2)*MOD(INT(MOD(INT((F32)/65536),256)/2^4),2)*16+MOD(INT(MOD(INT((D32)/65536),256)/2^5),2)*MOD(INT(MOD(INT((F32)/65536),256)/2^5),2)*32+MOD(INT(MOD(INT((D32)/65536),256)/2^6),2)*MOD(INT(MOD(INT((F32)/65536),256)/2^6),2)*64+MOD(INT(MOD(INT((D32)/65536),256)/2^7),2)*MOD(INT(MOD(INT((F32)/65536),256)/2^7),2)*128)*65536+(MOD(INT(MOD(INT((D32)/16777216),256)/2^0),2)*MOD(INT(MOD(INT((F32)/16777216),256)/2^0),2)*1+MOD(INT(MOD(INT((D32)/16777216),256)/2^1),2)*MOD(INT(MOD(INT((F32)/16777216),256)/2^1),2)*2+MOD(INT(MOD(INT((D32)/16777216),256)/2^2),2)*MOD(INT(MOD(INT((F32)/16777216),256)/2^2),2)*4+MOD(INT(MOD(INT((D32)/16777216),256)/2^3),2)*MOD(INT(MOD(INT((F32)/16777216),256)/2^3),2)*8+MOD(INT(MOD(INT((D32)/16777216),256)/2^4),2)*MOD(INT(MOD(INT((F32)/16777216),256)/2^4),2)*16+MOD(INT(MOD(INT((D32)/16777216),256)/2^5),2)*MOD(INT(MOD(INT((F32)/16777216),256)/2^5),2)*32+MOD(INT(MOD(INT((D32)/16777216),256)/2^6),2)*MOD(INT(MOD(INT((F32)/16777216),256)/2^6),2)*64+MOD(INT(MOD(INT((D32)/16777216),256)/2^7),2)*MOD(INT(MOD(INT((F32)/16777216),256)/2^7),2)*128)*16777216)</f>
        <v>19427721</v>
      </c>
      <c r="H33" s="36" t="n">
        <f aca="false">((MOD(INT(MOD(INT((E32)/1),256)/2^0),2)*MOD(INT(MOD(INT(((4294967295-F32))/1),256)/2^0),2)*1+MOD(INT(MOD(INT((E32)/1),256)/2^1),2)*MOD(INT(MOD(INT(((4294967295-F32))/1),256)/2^1),2)*2+MOD(INT(MOD(INT((E32)/1),256)/2^2),2)*MOD(INT(MOD(INT(((4294967295-F32))/1),256)/2^2),2)*4+MOD(INT(MOD(INT((E32)/1),256)/2^3),2)*MOD(INT(MOD(INT(((4294967295-F32))/1),256)/2^3),2)*8+MOD(INT(MOD(INT((E32)/1),256)/2^4),2)*MOD(INT(MOD(INT(((4294967295-F32))/1),256)/2^4),2)*16+MOD(INT(MOD(INT((E32)/1),256)/2^5),2)*MOD(INT(MOD(INT(((4294967295-F32))/1),256)/2^5),2)*32+MOD(INT(MOD(INT((E32)/1),256)/2^6),2)*MOD(INT(MOD(INT(((4294967295-F32))/1),256)/2^6),2)*64+MOD(INT(MOD(INT((E32)/1),256)/2^7),2)*MOD(INT(MOD(INT(((4294967295-F32))/1),256)/2^7),2)*128)*1+(MOD(INT(MOD(INT((E32)/256),256)/2^0),2)*MOD(INT(MOD(INT(((4294967295-F32))/256),256)/2^0),2)*1+MOD(INT(MOD(INT((E32)/256),256)/2^1),2)*MOD(INT(MOD(INT(((4294967295-F32))/256),256)/2^1),2)*2+MOD(INT(MOD(INT((E32)/256),256)/2^2),2)*MOD(INT(MOD(INT(((4294967295-F32))/256),256)/2^2),2)*4+MOD(INT(MOD(INT((E32)/256),256)/2^3),2)*MOD(INT(MOD(INT(((4294967295-F32))/256),256)/2^3),2)*8+MOD(INT(MOD(INT((E32)/256),256)/2^4),2)*MOD(INT(MOD(INT(((4294967295-F32))/256),256)/2^4),2)*16+MOD(INT(MOD(INT((E32)/256),256)/2^5),2)*MOD(INT(MOD(INT(((4294967295-F32))/256),256)/2^5),2)*32+MOD(INT(MOD(INT((E32)/256),256)/2^6),2)*MOD(INT(MOD(INT(((4294967295-F32))/256),256)/2^6),2)*64+MOD(INT(MOD(INT((E32)/256),256)/2^7),2)*MOD(INT(MOD(INT(((4294967295-F32))/256),256)/2^7),2)*128)*256+(MOD(INT(MOD(INT((E32)/65536),256)/2^0),2)*MOD(INT(MOD(INT(((4294967295-F32))/65536),256)/2^0),2)*1+MOD(INT(MOD(INT((E32)/65536),256)/2^1),2)*MOD(INT(MOD(INT(((4294967295-F32))/65536),256)/2^1),2)*2+MOD(INT(MOD(INT((E32)/65536),256)/2^2),2)*MOD(INT(MOD(INT(((4294967295-F32))/65536),256)/2^2),2)*4+MOD(INT(MOD(INT((E32)/65536),256)/2^3),2)*MOD(INT(MOD(INT(((4294967295-F32))/65536),256)/2^3),2)*8+MOD(INT(MOD(INT((E32)/65536),256)/2^4),2)*MOD(INT(MOD(INT(((4294967295-F32))/65536),256)/2^4),2)*16+MOD(INT(MOD(INT((E32)/65536),256)/2^5),2)*MOD(INT(MOD(INT(((4294967295-F32))/65536),256)/2^5),2)*32+MOD(INT(MOD(INT((E32)/65536),256)/2^6),2)*MOD(INT(MOD(INT(((4294967295-F32))/65536),256)/2^6),2)*64+MOD(INT(MOD(INT((E32)/65536),256)/2^7),2)*MOD(INT(MOD(INT(((4294967295-F32))/65536),256)/2^7),2)*128)*65536+(MOD(INT(MOD(INT((E32)/16777216),256)/2^0),2)*MOD(INT(MOD(INT(((4294967295-F32))/16777216),256)/2^0),2)*1+MOD(INT(MOD(INT((E32)/16777216),256)/2^1),2)*MOD(INT(MOD(INT(((4294967295-F32))/16777216),256)/2^1),2)*2+MOD(INT(MOD(INT((E32)/16777216),256)/2^2),2)*MOD(INT(MOD(INT(((4294967295-F32))/16777216),256)/2^2),2)*4+MOD(INT(MOD(INT((E32)/16777216),256)/2^3),2)*MOD(INT(MOD(INT(((4294967295-F32))/16777216),256)/2^3),2)*8+MOD(INT(MOD(INT((E32)/16777216),256)/2^4),2)*MOD(INT(MOD(INT(((4294967295-F32))/16777216),256)/2^4),2)*16+MOD(INT(MOD(INT((E32)/16777216),256)/2^5),2)*MOD(INT(MOD(INT(((4294967295-F32))/16777216),256)/2^5),2)*32+MOD(INT(MOD(INT((E32)/16777216),256)/2^6),2)*MOD(INT(MOD(INT(((4294967295-F32))/16777216),256)/2^6),2)*64+MOD(INT(MOD(INT((E32)/16777216),256)/2^7),2)*MOD(INT(MOD(INT(((4294967295-F32))/16777216),256)/2^7),2)*128)*16777216)</f>
        <v>1750403072</v>
      </c>
      <c r="I33" s="37" t="s">
        <v>138</v>
      </c>
      <c r="J33" s="39" t="n">
        <f aca="false">MOD(G33+H33,4294967296)</f>
        <v>1769830793</v>
      </c>
      <c r="K33" s="36" t="n">
        <f aca="false">(0)+(0)*256+(0)*65536+(0)*16777216</f>
        <v>0</v>
      </c>
      <c r="L33" s="36" t="n">
        <f aca="false">'📦 MD5 Constants'!C31</f>
        <v>1163531501</v>
      </c>
      <c r="M33" s="36" t="n">
        <f aca="false">'📦 MD5 Constants'!H31</f>
        <v>20</v>
      </c>
      <c r="N33" s="36" t="n">
        <f aca="false">MOD(C32+J33+K33+'📦 MD5 Constants'!C31,4294967296)</f>
        <v>3919648653</v>
      </c>
      <c r="O33" s="36" t="n">
        <f aca="false">MOD(MOD(N33,2^12)*2^20+INT(N33/2^12),4294967296)</f>
        <v>2027854353</v>
      </c>
      <c r="P33" s="39" t="n">
        <f aca="false">D33</f>
        <v>3604876188</v>
      </c>
      <c r="Q33" s="34" t="s">
        <v>166</v>
      </c>
    </row>
    <row r="34" customFormat="false" ht="13.5" hidden="false" customHeight="true" outlineLevel="0" collapsed="false">
      <c r="B34" s="38" t="n">
        <v>29</v>
      </c>
      <c r="C34" s="39" t="n">
        <f aca="false">F33</f>
        <v>1753061637</v>
      </c>
      <c r="D34" s="39" t="n">
        <f aca="false">MOD(D33+O34,4294967296)</f>
        <v>4098265004</v>
      </c>
      <c r="E34" s="39" t="n">
        <f aca="false">D33</f>
        <v>3604876188</v>
      </c>
      <c r="F34" s="39" t="n">
        <f aca="false">E33</f>
        <v>1577021835</v>
      </c>
      <c r="G34" s="36" t="n">
        <f aca="false">((MOD(INT(MOD(INT((D33)/1),256)/2^0),2)*MOD(INT(MOD(INT((F33)/1),256)/2^0),2)*1+MOD(INT(MOD(INT((D33)/1),256)/2^1),2)*MOD(INT(MOD(INT((F33)/1),256)/2^1),2)*2+MOD(INT(MOD(INT((D33)/1),256)/2^2),2)*MOD(INT(MOD(INT((F33)/1),256)/2^2),2)*4+MOD(INT(MOD(INT((D33)/1),256)/2^3),2)*MOD(INT(MOD(INT((F33)/1),256)/2^3),2)*8+MOD(INT(MOD(INT((D33)/1),256)/2^4),2)*MOD(INT(MOD(INT((F33)/1),256)/2^4),2)*16+MOD(INT(MOD(INT((D33)/1),256)/2^5),2)*MOD(INT(MOD(INT((F33)/1),256)/2^5),2)*32+MOD(INT(MOD(INT((D33)/1),256)/2^6),2)*MOD(INT(MOD(INT((F33)/1),256)/2^6),2)*64+MOD(INT(MOD(INT((D33)/1),256)/2^7),2)*MOD(INT(MOD(INT((F33)/1),256)/2^7),2)*128)*1+(MOD(INT(MOD(INT((D33)/256),256)/2^0),2)*MOD(INT(MOD(INT((F33)/256),256)/2^0),2)*1+MOD(INT(MOD(INT((D33)/256),256)/2^1),2)*MOD(INT(MOD(INT((F33)/256),256)/2^1),2)*2+MOD(INT(MOD(INT((D33)/256),256)/2^2),2)*MOD(INT(MOD(INT((F33)/256),256)/2^2),2)*4+MOD(INT(MOD(INT((D33)/256),256)/2^3),2)*MOD(INT(MOD(INT((F33)/256),256)/2^3),2)*8+MOD(INT(MOD(INT((D33)/256),256)/2^4),2)*MOD(INT(MOD(INT((F33)/256),256)/2^4),2)*16+MOD(INT(MOD(INT((D33)/256),256)/2^5),2)*MOD(INT(MOD(INT((F33)/256),256)/2^5),2)*32+MOD(INT(MOD(INT((D33)/256),256)/2^6),2)*MOD(INT(MOD(INT((F33)/256),256)/2^6),2)*64+MOD(INT(MOD(INT((D33)/256),256)/2^7),2)*MOD(INT(MOD(INT((F33)/256),256)/2^7),2)*128)*256+(MOD(INT(MOD(INT((D33)/65536),256)/2^0),2)*MOD(INT(MOD(INT((F33)/65536),256)/2^0),2)*1+MOD(INT(MOD(INT((D33)/65536),256)/2^1),2)*MOD(INT(MOD(INT((F33)/65536),256)/2^1),2)*2+MOD(INT(MOD(INT((D33)/65536),256)/2^2),2)*MOD(INT(MOD(INT((F33)/65536),256)/2^2),2)*4+MOD(INT(MOD(INT((D33)/65536),256)/2^3),2)*MOD(INT(MOD(INT((F33)/65536),256)/2^3),2)*8+MOD(INT(MOD(INT((D33)/65536),256)/2^4),2)*MOD(INT(MOD(INT((F33)/65536),256)/2^4),2)*16+MOD(INT(MOD(INT((D33)/65536),256)/2^5),2)*MOD(INT(MOD(INT((F33)/65536),256)/2^5),2)*32+MOD(INT(MOD(INT((D33)/65536),256)/2^6),2)*MOD(INT(MOD(INT((F33)/65536),256)/2^6),2)*64+MOD(INT(MOD(INT((D33)/65536),256)/2^7),2)*MOD(INT(MOD(INT((F33)/65536),256)/2^7),2)*128)*65536+(MOD(INT(MOD(INT((D33)/16777216),256)/2^0),2)*MOD(INT(MOD(INT((F33)/16777216),256)/2^0),2)*1+MOD(INT(MOD(INT((D33)/16777216),256)/2^1),2)*MOD(INT(MOD(INT((F33)/16777216),256)/2^1),2)*2+MOD(INT(MOD(INT((D33)/16777216),256)/2^2),2)*MOD(INT(MOD(INT((F33)/16777216),256)/2^2),2)*4+MOD(INT(MOD(INT((D33)/16777216),256)/2^3),2)*MOD(INT(MOD(INT((F33)/16777216),256)/2^3),2)*8+MOD(INT(MOD(INT((D33)/16777216),256)/2^4),2)*MOD(INT(MOD(INT((F33)/16777216),256)/2^4),2)*16+MOD(INT(MOD(INT((D33)/16777216),256)/2^5),2)*MOD(INT(MOD(INT((F33)/16777216),256)/2^5),2)*32+MOD(INT(MOD(INT((D33)/16777216),256)/2^6),2)*MOD(INT(MOD(INT((F33)/16777216),256)/2^6),2)*64+MOD(INT(MOD(INT((D33)/16777216),256)/2^7),2)*MOD(INT(MOD(INT((F33)/16777216),256)/2^7),2)*128)*16777216)</f>
        <v>1079773444</v>
      </c>
      <c r="H34" s="36" t="n">
        <f aca="false">((MOD(INT(MOD(INT((E33)/1),256)/2^0),2)*MOD(INT(MOD(INT(((4294967295-F33))/1),256)/2^0),2)*1+MOD(INT(MOD(INT((E33)/1),256)/2^1),2)*MOD(INT(MOD(INT(((4294967295-F33))/1),256)/2^1),2)*2+MOD(INT(MOD(INT((E33)/1),256)/2^2),2)*MOD(INT(MOD(INT(((4294967295-F33))/1),256)/2^2),2)*4+MOD(INT(MOD(INT((E33)/1),256)/2^3),2)*MOD(INT(MOD(INT(((4294967295-F33))/1),256)/2^3),2)*8+MOD(INT(MOD(INT((E33)/1),256)/2^4),2)*MOD(INT(MOD(INT(((4294967295-F33))/1),256)/2^4),2)*16+MOD(INT(MOD(INT((E33)/1),256)/2^5),2)*MOD(INT(MOD(INT(((4294967295-F33))/1),256)/2^5),2)*32+MOD(INT(MOD(INT((E33)/1),256)/2^6),2)*MOD(INT(MOD(INT(((4294967295-F33))/1),256)/2^6),2)*64+MOD(INT(MOD(INT((E33)/1),256)/2^7),2)*MOD(INT(MOD(INT(((4294967295-F33))/1),256)/2^7),2)*128)*1+(MOD(INT(MOD(INT((E33)/256),256)/2^0),2)*MOD(INT(MOD(INT(((4294967295-F33))/256),256)/2^0),2)*1+MOD(INT(MOD(INT((E33)/256),256)/2^1),2)*MOD(INT(MOD(INT(((4294967295-F33))/256),256)/2^1),2)*2+MOD(INT(MOD(INT((E33)/256),256)/2^2),2)*MOD(INT(MOD(INT(((4294967295-F33))/256),256)/2^2),2)*4+MOD(INT(MOD(INT((E33)/256),256)/2^3),2)*MOD(INT(MOD(INT(((4294967295-F33))/256),256)/2^3),2)*8+MOD(INT(MOD(INT((E33)/256),256)/2^4),2)*MOD(INT(MOD(INT(((4294967295-F33))/256),256)/2^4),2)*16+MOD(INT(MOD(INT((E33)/256),256)/2^5),2)*MOD(INT(MOD(INT(((4294967295-F33))/256),256)/2^5),2)*32+MOD(INT(MOD(INT((E33)/256),256)/2^6),2)*MOD(INT(MOD(INT(((4294967295-F33))/256),256)/2^6),2)*64+MOD(INT(MOD(INT((E33)/256),256)/2^7),2)*MOD(INT(MOD(INT(((4294967295-F33))/256),256)/2^7),2)*128)*256+(MOD(INT(MOD(INT((E33)/65536),256)/2^0),2)*MOD(INT(MOD(INT(((4294967295-F33))/65536),256)/2^0),2)*1+MOD(INT(MOD(INT((E33)/65536),256)/2^1),2)*MOD(INT(MOD(INT(((4294967295-F33))/65536),256)/2^1),2)*2+MOD(INT(MOD(INT((E33)/65536),256)/2^2),2)*MOD(INT(MOD(INT(((4294967295-F33))/65536),256)/2^2),2)*4+MOD(INT(MOD(INT((E33)/65536),256)/2^3),2)*MOD(INT(MOD(INT(((4294967295-F33))/65536),256)/2^3),2)*8+MOD(INT(MOD(INT((E33)/65536),256)/2^4),2)*MOD(INT(MOD(INT(((4294967295-F33))/65536),256)/2^4),2)*16+MOD(INT(MOD(INT((E33)/65536),256)/2^5),2)*MOD(INT(MOD(INT(((4294967295-F33))/65536),256)/2^5),2)*32+MOD(INT(MOD(INT((E33)/65536),256)/2^6),2)*MOD(INT(MOD(INT(((4294967295-F33))/65536),256)/2^6),2)*64+MOD(INT(MOD(INT((E33)/65536),256)/2^7),2)*MOD(INT(MOD(INT(((4294967295-F33))/65536),256)/2^7),2)*128)*65536+(MOD(INT(MOD(INT((E33)/16777216),256)/2^0),2)*MOD(INT(MOD(INT(((4294967295-F33))/16777216),256)/2^0),2)*1+MOD(INT(MOD(INT((E33)/16777216),256)/2^1),2)*MOD(INT(MOD(INT(((4294967295-F33))/16777216),256)/2^1),2)*2+MOD(INT(MOD(INT((E33)/16777216),256)/2^2),2)*MOD(INT(MOD(INT(((4294967295-F33))/16777216),256)/2^2),2)*4+MOD(INT(MOD(INT((E33)/16777216),256)/2^3),2)*MOD(INT(MOD(INT(((4294967295-F33))/16777216),256)/2^3),2)*8+MOD(INT(MOD(INT((E33)/16777216),256)/2^4),2)*MOD(INT(MOD(INT(((4294967295-F33))/16777216),256)/2^4),2)*16+MOD(INT(MOD(INT((E33)/16777216),256)/2^5),2)*MOD(INT(MOD(INT(((4294967295-F33))/16777216),256)/2^5),2)*32+MOD(INT(MOD(INT((E33)/16777216),256)/2^6),2)*MOD(INT(MOD(INT(((4294967295-F33))/16777216),256)/2^6),2)*64+MOD(INT(MOD(INT((E33)/16777216),256)/2^7),2)*MOD(INT(MOD(INT(((4294967295-F33))/16777216),256)/2^7),2)*128)*16777216)</f>
        <v>360865930</v>
      </c>
      <c r="I34" s="37" t="s">
        <v>138</v>
      </c>
      <c r="J34" s="39" t="n">
        <f aca="false">MOD(G34+H34,4294967296)</f>
        <v>1440639374</v>
      </c>
      <c r="K34" s="36" t="n">
        <f aca="false">(0)+(0)*256+(0)*65536+(0)*16777216</f>
        <v>0</v>
      </c>
      <c r="L34" s="36" t="n">
        <f aca="false">'📦 MD5 Constants'!C32</f>
        <v>2850285829</v>
      </c>
      <c r="M34" s="36" t="n">
        <f aca="false">'📦 MD5 Constants'!H32</f>
        <v>5</v>
      </c>
      <c r="N34" s="36" t="n">
        <f aca="false">MOD(C33+J34+K34+'📦 MD5 Constants'!C32,4294967296)</f>
        <v>2162902048</v>
      </c>
      <c r="O34" s="36" t="n">
        <f aca="false">MOD(MOD(N34,2^27)*2^5+INT(N34/2^27),4294967296)</f>
        <v>493388816</v>
      </c>
      <c r="P34" s="39" t="n">
        <f aca="false">D34</f>
        <v>4098265004</v>
      </c>
      <c r="Q34" s="34" t="s">
        <v>167</v>
      </c>
    </row>
    <row r="35" customFormat="false" ht="13.5" hidden="false" customHeight="true" outlineLevel="0" collapsed="false">
      <c r="B35" s="38" t="n">
        <v>30</v>
      </c>
      <c r="C35" s="39" t="n">
        <f aca="false">F34</f>
        <v>1577021835</v>
      </c>
      <c r="D35" s="39" t="n">
        <f aca="false">MOD(D34+O35,4294967296)</f>
        <v>1524089379</v>
      </c>
      <c r="E35" s="39" t="n">
        <f aca="false">D34</f>
        <v>4098265004</v>
      </c>
      <c r="F35" s="39" t="n">
        <f aca="false">E34</f>
        <v>3604876188</v>
      </c>
      <c r="G35" s="36" t="n">
        <f aca="false">((MOD(INT(MOD(INT((D34)/1),256)/2^0),2)*MOD(INT(MOD(INT((F34)/1),256)/2^0),2)*1+MOD(INT(MOD(INT((D34)/1),256)/2^1),2)*MOD(INT(MOD(INT((F34)/1),256)/2^1),2)*2+MOD(INT(MOD(INT((D34)/1),256)/2^2),2)*MOD(INT(MOD(INT((F34)/1),256)/2^2),2)*4+MOD(INT(MOD(INT((D34)/1),256)/2^3),2)*MOD(INT(MOD(INT((F34)/1),256)/2^3),2)*8+MOD(INT(MOD(INT((D34)/1),256)/2^4),2)*MOD(INT(MOD(INT((F34)/1),256)/2^4),2)*16+MOD(INT(MOD(INT((D34)/1),256)/2^5),2)*MOD(INT(MOD(INT((F34)/1),256)/2^5),2)*32+MOD(INT(MOD(INT((D34)/1),256)/2^6),2)*MOD(INT(MOD(INT((F34)/1),256)/2^6),2)*64+MOD(INT(MOD(INT((D34)/1),256)/2^7),2)*MOD(INT(MOD(INT((F34)/1),256)/2^7),2)*128)*1+(MOD(INT(MOD(INT((D34)/256),256)/2^0),2)*MOD(INT(MOD(INT((F34)/256),256)/2^0),2)*1+MOD(INT(MOD(INT((D34)/256),256)/2^1),2)*MOD(INT(MOD(INT((F34)/256),256)/2^1),2)*2+MOD(INT(MOD(INT((D34)/256),256)/2^2),2)*MOD(INT(MOD(INT((F34)/256),256)/2^2),2)*4+MOD(INT(MOD(INT((D34)/256),256)/2^3),2)*MOD(INT(MOD(INT((F34)/256),256)/2^3),2)*8+MOD(INT(MOD(INT((D34)/256),256)/2^4),2)*MOD(INT(MOD(INT((F34)/256),256)/2^4),2)*16+MOD(INT(MOD(INT((D34)/256),256)/2^5),2)*MOD(INT(MOD(INT((F34)/256),256)/2^5),2)*32+MOD(INT(MOD(INT((D34)/256),256)/2^6),2)*MOD(INT(MOD(INT((F34)/256),256)/2^6),2)*64+MOD(INT(MOD(INT((D34)/256),256)/2^7),2)*MOD(INT(MOD(INT((F34)/256),256)/2^7),2)*128)*256+(MOD(INT(MOD(INT((D34)/65536),256)/2^0),2)*MOD(INT(MOD(INT((F34)/65536),256)/2^0),2)*1+MOD(INT(MOD(INT((D34)/65536),256)/2^1),2)*MOD(INT(MOD(INT((F34)/65536),256)/2^1),2)*2+MOD(INT(MOD(INT((D34)/65536),256)/2^2),2)*MOD(INT(MOD(INT((F34)/65536),256)/2^2),2)*4+MOD(INT(MOD(INT((D34)/65536),256)/2^3),2)*MOD(INT(MOD(INT((F34)/65536),256)/2^3),2)*8+MOD(INT(MOD(INT((D34)/65536),256)/2^4),2)*MOD(INT(MOD(INT((F34)/65536),256)/2^4),2)*16+MOD(INT(MOD(INT((D34)/65536),256)/2^5),2)*MOD(INT(MOD(INT((F34)/65536),256)/2^5),2)*32+MOD(INT(MOD(INT((D34)/65536),256)/2^6),2)*MOD(INT(MOD(INT((F34)/65536),256)/2^6),2)*64+MOD(INT(MOD(INT((D34)/65536),256)/2^7),2)*MOD(INT(MOD(INT((F34)/65536),256)/2^7),2)*128)*65536+(MOD(INT(MOD(INT((D34)/16777216),256)/2^0),2)*MOD(INT(MOD(INT((F34)/16777216),256)/2^0),2)*1+MOD(INT(MOD(INT((D34)/16777216),256)/2^1),2)*MOD(INT(MOD(INT((F34)/16777216),256)/2^1),2)*2+MOD(INT(MOD(INT((D34)/16777216),256)/2^2),2)*MOD(INT(MOD(INT((F34)/16777216),256)/2^2),2)*4+MOD(INT(MOD(INT((D34)/16777216),256)/2^3),2)*MOD(INT(MOD(INT((F34)/16777216),256)/2^3),2)*8+MOD(INT(MOD(INT((D34)/16777216),256)/2^4),2)*MOD(INT(MOD(INT((F34)/16777216),256)/2^4),2)*16+MOD(INT(MOD(INT((D34)/16777216),256)/2^5),2)*MOD(INT(MOD(INT((F34)/16777216),256)/2^5),2)*32+MOD(INT(MOD(INT((D34)/16777216),256)/2^6),2)*MOD(INT(MOD(INT((F34)/16777216),256)/2^6),2)*64+MOD(INT(MOD(INT((D34)/16777216),256)/2^7),2)*MOD(INT(MOD(INT((F34)/16777216),256)/2^7),2)*128)*16777216)</f>
        <v>1413874056</v>
      </c>
      <c r="H35" s="36" t="n">
        <f aca="false">((MOD(INT(MOD(INT((E34)/1),256)/2^0),2)*MOD(INT(MOD(INT(((4294967295-F34))/1),256)/2^0),2)*1+MOD(INT(MOD(INT((E34)/1),256)/2^1),2)*MOD(INT(MOD(INT(((4294967295-F34))/1),256)/2^1),2)*2+MOD(INT(MOD(INT((E34)/1),256)/2^2),2)*MOD(INT(MOD(INT(((4294967295-F34))/1),256)/2^2),2)*4+MOD(INT(MOD(INT((E34)/1),256)/2^3),2)*MOD(INT(MOD(INT(((4294967295-F34))/1),256)/2^3),2)*8+MOD(INT(MOD(INT((E34)/1),256)/2^4),2)*MOD(INT(MOD(INT(((4294967295-F34))/1),256)/2^4),2)*16+MOD(INT(MOD(INT((E34)/1),256)/2^5),2)*MOD(INT(MOD(INT(((4294967295-F34))/1),256)/2^5),2)*32+MOD(INT(MOD(INT((E34)/1),256)/2^6),2)*MOD(INT(MOD(INT(((4294967295-F34))/1),256)/2^6),2)*64+MOD(INT(MOD(INT((E34)/1),256)/2^7),2)*MOD(INT(MOD(INT(((4294967295-F34))/1),256)/2^7),2)*128)*1+(MOD(INT(MOD(INT((E34)/256),256)/2^0),2)*MOD(INT(MOD(INT(((4294967295-F34))/256),256)/2^0),2)*1+MOD(INT(MOD(INT((E34)/256),256)/2^1),2)*MOD(INT(MOD(INT(((4294967295-F34))/256),256)/2^1),2)*2+MOD(INT(MOD(INT((E34)/256),256)/2^2),2)*MOD(INT(MOD(INT(((4294967295-F34))/256),256)/2^2),2)*4+MOD(INT(MOD(INT((E34)/256),256)/2^3),2)*MOD(INT(MOD(INT(((4294967295-F34))/256),256)/2^3),2)*8+MOD(INT(MOD(INT((E34)/256),256)/2^4),2)*MOD(INT(MOD(INT(((4294967295-F34))/256),256)/2^4),2)*16+MOD(INT(MOD(INT((E34)/256),256)/2^5),2)*MOD(INT(MOD(INT(((4294967295-F34))/256),256)/2^5),2)*32+MOD(INT(MOD(INT((E34)/256),256)/2^6),2)*MOD(INT(MOD(INT(((4294967295-F34))/256),256)/2^6),2)*64+MOD(INT(MOD(INT((E34)/256),256)/2^7),2)*MOD(INT(MOD(INT(((4294967295-F34))/256),256)/2^7),2)*128)*256+(MOD(INT(MOD(INT((E34)/65536),256)/2^0),2)*MOD(INT(MOD(INT(((4294967295-F34))/65536),256)/2^0),2)*1+MOD(INT(MOD(INT((E34)/65536),256)/2^1),2)*MOD(INT(MOD(INT(((4294967295-F34))/65536),256)/2^1),2)*2+MOD(INT(MOD(INT((E34)/65536),256)/2^2),2)*MOD(INT(MOD(INT(((4294967295-F34))/65536),256)/2^2),2)*4+MOD(INT(MOD(INT((E34)/65536),256)/2^3),2)*MOD(INT(MOD(INT(((4294967295-F34))/65536),256)/2^3),2)*8+MOD(INT(MOD(INT((E34)/65536),256)/2^4),2)*MOD(INT(MOD(INT(((4294967295-F34))/65536),256)/2^4),2)*16+MOD(INT(MOD(INT((E34)/65536),256)/2^5),2)*MOD(INT(MOD(INT(((4294967295-F34))/65536),256)/2^5),2)*32+MOD(INT(MOD(INT((E34)/65536),256)/2^6),2)*MOD(INT(MOD(INT(((4294967295-F34))/65536),256)/2^6),2)*64+MOD(INT(MOD(INT((E34)/65536),256)/2^7),2)*MOD(INT(MOD(INT(((4294967295-F34))/65536),256)/2^7),2)*128)*65536+(MOD(INT(MOD(INT((E34)/16777216),256)/2^0),2)*MOD(INT(MOD(INT(((4294967295-F34))/16777216),256)/2^0),2)*1+MOD(INT(MOD(INT((E34)/16777216),256)/2^1),2)*MOD(INT(MOD(INT(((4294967295-F34))/16777216),256)/2^1),2)*2+MOD(INT(MOD(INT((E34)/16777216),256)/2^2),2)*MOD(INT(MOD(INT(((4294967295-F34))/16777216),256)/2^2),2)*4+MOD(INT(MOD(INT((E34)/16777216),256)/2^3),2)*MOD(INT(MOD(INT(((4294967295-F34))/16777216),256)/2^3),2)*8+MOD(INT(MOD(INT((E34)/16777216),256)/2^4),2)*MOD(INT(MOD(INT(((4294967295-F34))/16777216),256)/2^4),2)*16+MOD(INT(MOD(INT((E34)/16777216),256)/2^5),2)*MOD(INT(MOD(INT(((4294967295-F34))/16777216),256)/2^5),2)*32+MOD(INT(MOD(INT((E34)/16777216),256)/2^6),2)*MOD(INT(MOD(INT(((4294967295-F34))/16777216),256)/2^6),2)*64+MOD(INT(MOD(INT((E34)/16777216),256)/2^7),2)*MOD(INT(MOD(INT(((4294967295-F34))/16777216),256)/2^7),2)*128)*16777216)</f>
        <v>2181040660</v>
      </c>
      <c r="I35" s="37" t="s">
        <v>138</v>
      </c>
      <c r="J35" s="39" t="n">
        <f aca="false">MOD(G35+H35,4294967296)</f>
        <v>3594914716</v>
      </c>
      <c r="K35" s="36" t="n">
        <f aca="false">(0)+(0)*256+(0)*65536+(0)*16777216</f>
        <v>0</v>
      </c>
      <c r="L35" s="36" t="n">
        <f aca="false">'📦 MD5 Constants'!C33</f>
        <v>4243563512</v>
      </c>
      <c r="M35" s="36" t="n">
        <f aca="false">'📦 MD5 Constants'!H33</f>
        <v>9</v>
      </c>
      <c r="N35" s="36" t="n">
        <f aca="false">MOD(C34+J35+K35+'📦 MD5 Constants'!C33,4294967296)</f>
        <v>1001605273</v>
      </c>
      <c r="O35" s="36" t="n">
        <f aca="false">MOD(MOD(N35,2^23)*2^9+INT(N35/2^23),4294967296)</f>
        <v>1720791671</v>
      </c>
      <c r="P35" s="39" t="n">
        <f aca="false">D35</f>
        <v>1524089379</v>
      </c>
      <c r="Q35" s="34" t="s">
        <v>168</v>
      </c>
    </row>
    <row r="36" customFormat="false" ht="13.5" hidden="false" customHeight="true" outlineLevel="0" collapsed="false">
      <c r="B36" s="38" t="n">
        <v>31</v>
      </c>
      <c r="C36" s="39" t="n">
        <f aca="false">F35</f>
        <v>3604876188</v>
      </c>
      <c r="D36" s="39" t="n">
        <f aca="false">MOD(D35+O36,4294967296)</f>
        <v>2574831668</v>
      </c>
      <c r="E36" s="39" t="n">
        <f aca="false">D35</f>
        <v>1524089379</v>
      </c>
      <c r="F36" s="39" t="n">
        <f aca="false">E35</f>
        <v>4098265004</v>
      </c>
      <c r="G36" s="36" t="n">
        <f aca="false">((MOD(INT(MOD(INT((D35)/1),256)/2^0),2)*MOD(INT(MOD(INT((F35)/1),256)/2^0),2)*1+MOD(INT(MOD(INT((D35)/1),256)/2^1),2)*MOD(INT(MOD(INT((F35)/1),256)/2^1),2)*2+MOD(INT(MOD(INT((D35)/1),256)/2^2),2)*MOD(INT(MOD(INT((F35)/1),256)/2^2),2)*4+MOD(INT(MOD(INT((D35)/1),256)/2^3),2)*MOD(INT(MOD(INT((F35)/1),256)/2^3),2)*8+MOD(INT(MOD(INT((D35)/1),256)/2^4),2)*MOD(INT(MOD(INT((F35)/1),256)/2^4),2)*16+MOD(INT(MOD(INT((D35)/1),256)/2^5),2)*MOD(INT(MOD(INT((F35)/1),256)/2^5),2)*32+MOD(INT(MOD(INT((D35)/1),256)/2^6),2)*MOD(INT(MOD(INT((F35)/1),256)/2^6),2)*64+MOD(INT(MOD(INT((D35)/1),256)/2^7),2)*MOD(INT(MOD(INT((F35)/1),256)/2^7),2)*128)*1+(MOD(INT(MOD(INT((D35)/256),256)/2^0),2)*MOD(INT(MOD(INT((F35)/256),256)/2^0),2)*1+MOD(INT(MOD(INT((D35)/256),256)/2^1),2)*MOD(INT(MOD(INT((F35)/256),256)/2^1),2)*2+MOD(INT(MOD(INT((D35)/256),256)/2^2),2)*MOD(INT(MOD(INT((F35)/256),256)/2^2),2)*4+MOD(INT(MOD(INT((D35)/256),256)/2^3),2)*MOD(INT(MOD(INT((F35)/256),256)/2^3),2)*8+MOD(INT(MOD(INT((D35)/256),256)/2^4),2)*MOD(INT(MOD(INT((F35)/256),256)/2^4),2)*16+MOD(INT(MOD(INT((D35)/256),256)/2^5),2)*MOD(INT(MOD(INT((F35)/256),256)/2^5),2)*32+MOD(INT(MOD(INT((D35)/256),256)/2^6),2)*MOD(INT(MOD(INT((F35)/256),256)/2^6),2)*64+MOD(INT(MOD(INT((D35)/256),256)/2^7),2)*MOD(INT(MOD(INT((F35)/256),256)/2^7),2)*128)*256+(MOD(INT(MOD(INT((D35)/65536),256)/2^0),2)*MOD(INT(MOD(INT((F35)/65536),256)/2^0),2)*1+MOD(INT(MOD(INT((D35)/65536),256)/2^1),2)*MOD(INT(MOD(INT((F35)/65536),256)/2^1),2)*2+MOD(INT(MOD(INT((D35)/65536),256)/2^2),2)*MOD(INT(MOD(INT((F35)/65536),256)/2^2),2)*4+MOD(INT(MOD(INT((D35)/65536),256)/2^3),2)*MOD(INT(MOD(INT((F35)/65536),256)/2^3),2)*8+MOD(INT(MOD(INT((D35)/65536),256)/2^4),2)*MOD(INT(MOD(INT((F35)/65536),256)/2^4),2)*16+MOD(INT(MOD(INT((D35)/65536),256)/2^5),2)*MOD(INT(MOD(INT((F35)/65536),256)/2^5),2)*32+MOD(INT(MOD(INT((D35)/65536),256)/2^6),2)*MOD(INT(MOD(INT((F35)/65536),256)/2^6),2)*64+MOD(INT(MOD(INT((D35)/65536),256)/2^7),2)*MOD(INT(MOD(INT((F35)/65536),256)/2^7),2)*128)*65536+(MOD(INT(MOD(INT((D35)/16777216),256)/2^0),2)*MOD(INT(MOD(INT((F35)/16777216),256)/2^0),2)*1+MOD(INT(MOD(INT((D35)/16777216),256)/2^1),2)*MOD(INT(MOD(INT((F35)/16777216),256)/2^1),2)*2+MOD(INT(MOD(INT((D35)/16777216),256)/2^2),2)*MOD(INT(MOD(INT((F35)/16777216),256)/2^2),2)*4+MOD(INT(MOD(INT((D35)/16777216),256)/2^3),2)*MOD(INT(MOD(INT((F35)/16777216),256)/2^3),2)*8+MOD(INT(MOD(INT((D35)/16777216),256)/2^4),2)*MOD(INT(MOD(INT((F35)/16777216),256)/2^4),2)*16+MOD(INT(MOD(INT((D35)/16777216),256)/2^5),2)*MOD(INT(MOD(INT((F35)/16777216),256)/2^5),2)*32+MOD(INT(MOD(INT((D35)/16777216),256)/2^6),2)*MOD(INT(MOD(INT((F35)/16777216),256)/2^6),2)*64+MOD(INT(MOD(INT((D35)/16777216),256)/2^7),2)*MOD(INT(MOD(INT((F35)/16777216),256)/2^7),2)*128)*16777216)</f>
        <v>1389756928</v>
      </c>
      <c r="H36" s="36" t="n">
        <f aca="false">((MOD(INT(MOD(INT((E35)/1),256)/2^0),2)*MOD(INT(MOD(INT(((4294967295-F35))/1),256)/2^0),2)*1+MOD(INT(MOD(INT((E35)/1),256)/2^1),2)*MOD(INT(MOD(INT(((4294967295-F35))/1),256)/2^1),2)*2+MOD(INT(MOD(INT((E35)/1),256)/2^2),2)*MOD(INT(MOD(INT(((4294967295-F35))/1),256)/2^2),2)*4+MOD(INT(MOD(INT((E35)/1),256)/2^3),2)*MOD(INT(MOD(INT(((4294967295-F35))/1),256)/2^3),2)*8+MOD(INT(MOD(INT((E35)/1),256)/2^4),2)*MOD(INT(MOD(INT(((4294967295-F35))/1),256)/2^4),2)*16+MOD(INT(MOD(INT((E35)/1),256)/2^5),2)*MOD(INT(MOD(INT(((4294967295-F35))/1),256)/2^5),2)*32+MOD(INT(MOD(INT((E35)/1),256)/2^6),2)*MOD(INT(MOD(INT(((4294967295-F35))/1),256)/2^6),2)*64+MOD(INT(MOD(INT((E35)/1),256)/2^7),2)*MOD(INT(MOD(INT(((4294967295-F35))/1),256)/2^7),2)*128)*1+(MOD(INT(MOD(INT((E35)/256),256)/2^0),2)*MOD(INT(MOD(INT(((4294967295-F35))/256),256)/2^0),2)*1+MOD(INT(MOD(INT((E35)/256),256)/2^1),2)*MOD(INT(MOD(INT(((4294967295-F35))/256),256)/2^1),2)*2+MOD(INT(MOD(INT((E35)/256),256)/2^2),2)*MOD(INT(MOD(INT(((4294967295-F35))/256),256)/2^2),2)*4+MOD(INT(MOD(INT((E35)/256),256)/2^3),2)*MOD(INT(MOD(INT(((4294967295-F35))/256),256)/2^3),2)*8+MOD(INT(MOD(INT((E35)/256),256)/2^4),2)*MOD(INT(MOD(INT(((4294967295-F35))/256),256)/2^4),2)*16+MOD(INT(MOD(INT((E35)/256),256)/2^5),2)*MOD(INT(MOD(INT(((4294967295-F35))/256),256)/2^5),2)*32+MOD(INT(MOD(INT((E35)/256),256)/2^6),2)*MOD(INT(MOD(INT(((4294967295-F35))/256),256)/2^6),2)*64+MOD(INT(MOD(INT((E35)/256),256)/2^7),2)*MOD(INT(MOD(INT(((4294967295-F35))/256),256)/2^7),2)*128)*256+(MOD(INT(MOD(INT((E35)/65536),256)/2^0),2)*MOD(INT(MOD(INT(((4294967295-F35))/65536),256)/2^0),2)*1+MOD(INT(MOD(INT((E35)/65536),256)/2^1),2)*MOD(INT(MOD(INT(((4294967295-F35))/65536),256)/2^1),2)*2+MOD(INT(MOD(INT((E35)/65536),256)/2^2),2)*MOD(INT(MOD(INT(((4294967295-F35))/65536),256)/2^2),2)*4+MOD(INT(MOD(INT((E35)/65536),256)/2^3),2)*MOD(INT(MOD(INT(((4294967295-F35))/65536),256)/2^3),2)*8+MOD(INT(MOD(INT((E35)/65536),256)/2^4),2)*MOD(INT(MOD(INT(((4294967295-F35))/65536),256)/2^4),2)*16+MOD(INT(MOD(INT((E35)/65536),256)/2^5),2)*MOD(INT(MOD(INT(((4294967295-F35))/65536),256)/2^5),2)*32+MOD(INT(MOD(INT((E35)/65536),256)/2^6),2)*MOD(INT(MOD(INT(((4294967295-F35))/65536),256)/2^6),2)*64+MOD(INT(MOD(INT((E35)/65536),256)/2^7),2)*MOD(INT(MOD(INT(((4294967295-F35))/65536),256)/2^7),2)*128)*65536+(MOD(INT(MOD(INT((E35)/16777216),256)/2^0),2)*MOD(INT(MOD(INT(((4294967295-F35))/16777216),256)/2^0),2)*1+MOD(INT(MOD(INT((E35)/16777216),256)/2^1),2)*MOD(INT(MOD(INT(((4294967295-F35))/16777216),256)/2^1),2)*2+MOD(INT(MOD(INT((E35)/16777216),256)/2^2),2)*MOD(INT(MOD(INT(((4294967295-F35))/16777216),256)/2^2),2)*4+MOD(INT(MOD(INT((E35)/16777216),256)/2^3),2)*MOD(INT(MOD(INT(((4294967295-F35))/16777216),256)/2^3),2)*8+MOD(INT(MOD(INT((E35)/16777216),256)/2^4),2)*MOD(INT(MOD(INT(((4294967295-F35))/16777216),256)/2^4),2)*16+MOD(INT(MOD(INT((E35)/16777216),256)/2^5),2)*MOD(INT(MOD(INT(((4294967295-F35))/16777216),256)/2^5),2)*32+MOD(INT(MOD(INT((E35)/16777216),256)/2^6),2)*MOD(INT(MOD(INT(((4294967295-F35))/16777216),256)/2^6),2)*64+MOD(INT(MOD(INT((E35)/16777216),256)/2^7),2)*MOD(INT(MOD(INT(((4294967295-F35))/16777216),256)/2^7),2)*128)*16777216)</f>
        <v>536904736</v>
      </c>
      <c r="I36" s="37" t="s">
        <v>138</v>
      </c>
      <c r="J36" s="39" t="n">
        <f aca="false">MOD(G36+H36,4294967296)</f>
        <v>1926661664</v>
      </c>
      <c r="K36" s="36" t="n">
        <f aca="false">(0)+(0)*256+(0)*65536+(0)*16777216</f>
        <v>0</v>
      </c>
      <c r="L36" s="36" t="n">
        <f aca="false">'📦 MD5 Constants'!C34</f>
        <v>1735328473</v>
      </c>
      <c r="M36" s="36" t="n">
        <f aca="false">'📦 MD5 Constants'!H34</f>
        <v>14</v>
      </c>
      <c r="N36" s="36" t="n">
        <f aca="false">MOD(C35+J36+K36+'📦 MD5 Constants'!C34,4294967296)</f>
        <v>944044676</v>
      </c>
      <c r="O36" s="36" t="n">
        <f aca="false">MOD(MOD(N36,2^18)*2^14+INT(N36/2^18),4294967296)</f>
        <v>1050742289</v>
      </c>
      <c r="P36" s="39" t="n">
        <f aca="false">D36</f>
        <v>2574831668</v>
      </c>
      <c r="Q36" s="34" t="s">
        <v>169</v>
      </c>
    </row>
    <row r="37" customFormat="false" ht="13.5" hidden="false" customHeight="true" outlineLevel="0" collapsed="false">
      <c r="B37" s="38" t="n">
        <v>32</v>
      </c>
      <c r="C37" s="39" t="n">
        <f aca="false">F36</f>
        <v>4098265004</v>
      </c>
      <c r="D37" s="39" t="n">
        <f aca="false">MOD(D36+O37,4294967296)</f>
        <v>509132245</v>
      </c>
      <c r="E37" s="39" t="n">
        <f aca="false">D36</f>
        <v>2574831668</v>
      </c>
      <c r="F37" s="39" t="n">
        <f aca="false">E36</f>
        <v>1524089379</v>
      </c>
      <c r="G37" s="36" t="n">
        <f aca="false">((MOD(INT(MOD(INT((D36)/1),256)/2^0),2)*MOD(INT(MOD(INT((F36)/1),256)/2^0),2)*1+MOD(INT(MOD(INT((D36)/1),256)/2^1),2)*MOD(INT(MOD(INT((F36)/1),256)/2^1),2)*2+MOD(INT(MOD(INT((D36)/1),256)/2^2),2)*MOD(INT(MOD(INT((F36)/1),256)/2^2),2)*4+MOD(INT(MOD(INT((D36)/1),256)/2^3),2)*MOD(INT(MOD(INT((F36)/1),256)/2^3),2)*8+MOD(INT(MOD(INT((D36)/1),256)/2^4),2)*MOD(INT(MOD(INT((F36)/1),256)/2^4),2)*16+MOD(INT(MOD(INT((D36)/1),256)/2^5),2)*MOD(INT(MOD(INT((F36)/1),256)/2^5),2)*32+MOD(INT(MOD(INT((D36)/1),256)/2^6),2)*MOD(INT(MOD(INT((F36)/1),256)/2^6),2)*64+MOD(INT(MOD(INT((D36)/1),256)/2^7),2)*MOD(INT(MOD(INT((F36)/1),256)/2^7),2)*128)*1+(MOD(INT(MOD(INT((D36)/256),256)/2^0),2)*MOD(INT(MOD(INT((F36)/256),256)/2^0),2)*1+MOD(INT(MOD(INT((D36)/256),256)/2^1),2)*MOD(INT(MOD(INT((F36)/256),256)/2^1),2)*2+MOD(INT(MOD(INT((D36)/256),256)/2^2),2)*MOD(INT(MOD(INT((F36)/256),256)/2^2),2)*4+MOD(INT(MOD(INT((D36)/256),256)/2^3),2)*MOD(INT(MOD(INT((F36)/256),256)/2^3),2)*8+MOD(INT(MOD(INT((D36)/256),256)/2^4),2)*MOD(INT(MOD(INT((F36)/256),256)/2^4),2)*16+MOD(INT(MOD(INT((D36)/256),256)/2^5),2)*MOD(INT(MOD(INT((F36)/256),256)/2^5),2)*32+MOD(INT(MOD(INT((D36)/256),256)/2^6),2)*MOD(INT(MOD(INT((F36)/256),256)/2^6),2)*64+MOD(INT(MOD(INT((D36)/256),256)/2^7),2)*MOD(INT(MOD(INT((F36)/256),256)/2^7),2)*128)*256+(MOD(INT(MOD(INT((D36)/65536),256)/2^0),2)*MOD(INT(MOD(INT((F36)/65536),256)/2^0),2)*1+MOD(INT(MOD(INT((D36)/65536),256)/2^1),2)*MOD(INT(MOD(INT((F36)/65536),256)/2^1),2)*2+MOD(INT(MOD(INT((D36)/65536),256)/2^2),2)*MOD(INT(MOD(INT((F36)/65536),256)/2^2),2)*4+MOD(INT(MOD(INT((D36)/65536),256)/2^3),2)*MOD(INT(MOD(INT((F36)/65536),256)/2^3),2)*8+MOD(INT(MOD(INT((D36)/65536),256)/2^4),2)*MOD(INT(MOD(INT((F36)/65536),256)/2^4),2)*16+MOD(INT(MOD(INT((D36)/65536),256)/2^5),2)*MOD(INT(MOD(INT((F36)/65536),256)/2^5),2)*32+MOD(INT(MOD(INT((D36)/65536),256)/2^6),2)*MOD(INT(MOD(INT((F36)/65536),256)/2^6),2)*64+MOD(INT(MOD(INT((D36)/65536),256)/2^7),2)*MOD(INT(MOD(INT((F36)/65536),256)/2^7),2)*128)*65536+(MOD(INT(MOD(INT((D36)/16777216),256)/2^0),2)*MOD(INT(MOD(INT((F36)/16777216),256)/2^0),2)*1+MOD(INT(MOD(INT((D36)/16777216),256)/2^1),2)*MOD(INT(MOD(INT((F36)/16777216),256)/2^1),2)*2+MOD(INT(MOD(INT((D36)/16777216),256)/2^2),2)*MOD(INT(MOD(INT((F36)/16777216),256)/2^2),2)*4+MOD(INT(MOD(INT((D36)/16777216),256)/2^3),2)*MOD(INT(MOD(INT((F36)/16777216),256)/2^3),2)*8+MOD(INT(MOD(INT((D36)/16777216),256)/2^4),2)*MOD(INT(MOD(INT((F36)/16777216),256)/2^4),2)*16+MOD(INT(MOD(INT((D36)/16777216),256)/2^5),2)*MOD(INT(MOD(INT((F36)/16777216),256)/2^5),2)*32+MOD(INT(MOD(INT((D36)/16777216),256)/2^6),2)*MOD(INT(MOD(INT((F36)/16777216),256)/2^6),2)*64+MOD(INT(MOD(INT((D36)/16777216),256)/2^7),2)*MOD(INT(MOD(INT((F36)/16777216),256)/2^7),2)*128)*16777216)</f>
        <v>2420146212</v>
      </c>
      <c r="H37" s="36" t="n">
        <f aca="false">((MOD(INT(MOD(INT((E36)/1),256)/2^0),2)*MOD(INT(MOD(INT(((4294967295-F36))/1),256)/2^0),2)*1+MOD(INT(MOD(INT((E36)/1),256)/2^1),2)*MOD(INT(MOD(INT(((4294967295-F36))/1),256)/2^1),2)*2+MOD(INT(MOD(INT((E36)/1),256)/2^2),2)*MOD(INT(MOD(INT(((4294967295-F36))/1),256)/2^2),2)*4+MOD(INT(MOD(INT((E36)/1),256)/2^3),2)*MOD(INT(MOD(INT(((4294967295-F36))/1),256)/2^3),2)*8+MOD(INT(MOD(INT((E36)/1),256)/2^4),2)*MOD(INT(MOD(INT(((4294967295-F36))/1),256)/2^4),2)*16+MOD(INT(MOD(INT((E36)/1),256)/2^5),2)*MOD(INT(MOD(INT(((4294967295-F36))/1),256)/2^5),2)*32+MOD(INT(MOD(INT((E36)/1),256)/2^6),2)*MOD(INT(MOD(INT(((4294967295-F36))/1),256)/2^6),2)*64+MOD(INT(MOD(INT((E36)/1),256)/2^7),2)*MOD(INT(MOD(INT(((4294967295-F36))/1),256)/2^7),2)*128)*1+(MOD(INT(MOD(INT((E36)/256),256)/2^0),2)*MOD(INT(MOD(INT(((4294967295-F36))/256),256)/2^0),2)*1+MOD(INT(MOD(INT((E36)/256),256)/2^1),2)*MOD(INT(MOD(INT(((4294967295-F36))/256),256)/2^1),2)*2+MOD(INT(MOD(INT((E36)/256),256)/2^2),2)*MOD(INT(MOD(INT(((4294967295-F36))/256),256)/2^2),2)*4+MOD(INT(MOD(INT((E36)/256),256)/2^3),2)*MOD(INT(MOD(INT(((4294967295-F36))/256),256)/2^3),2)*8+MOD(INT(MOD(INT((E36)/256),256)/2^4),2)*MOD(INT(MOD(INT(((4294967295-F36))/256),256)/2^4),2)*16+MOD(INT(MOD(INT((E36)/256),256)/2^5),2)*MOD(INT(MOD(INT(((4294967295-F36))/256),256)/2^5),2)*32+MOD(INT(MOD(INT((E36)/256),256)/2^6),2)*MOD(INT(MOD(INT(((4294967295-F36))/256),256)/2^6),2)*64+MOD(INT(MOD(INT((E36)/256),256)/2^7),2)*MOD(INT(MOD(INT(((4294967295-F36))/256),256)/2^7),2)*128)*256+(MOD(INT(MOD(INT((E36)/65536),256)/2^0),2)*MOD(INT(MOD(INT(((4294967295-F36))/65536),256)/2^0),2)*1+MOD(INT(MOD(INT((E36)/65536),256)/2^1),2)*MOD(INT(MOD(INT(((4294967295-F36))/65536),256)/2^1),2)*2+MOD(INT(MOD(INT((E36)/65536),256)/2^2),2)*MOD(INT(MOD(INT(((4294967295-F36))/65536),256)/2^2),2)*4+MOD(INT(MOD(INT((E36)/65536),256)/2^3),2)*MOD(INT(MOD(INT(((4294967295-F36))/65536),256)/2^3),2)*8+MOD(INT(MOD(INT((E36)/65536),256)/2^4),2)*MOD(INT(MOD(INT(((4294967295-F36))/65536),256)/2^4),2)*16+MOD(INT(MOD(INT((E36)/65536),256)/2^5),2)*MOD(INT(MOD(INT(((4294967295-F36))/65536),256)/2^5),2)*32+MOD(INT(MOD(INT((E36)/65536),256)/2^6),2)*MOD(INT(MOD(INT(((4294967295-F36))/65536),256)/2^6),2)*64+MOD(INT(MOD(INT((E36)/65536),256)/2^7),2)*MOD(INT(MOD(INT(((4294967295-F36))/65536),256)/2^7),2)*128)*65536+(MOD(INT(MOD(INT((E36)/16777216),256)/2^0),2)*MOD(INT(MOD(INT(((4294967295-F36))/16777216),256)/2^0),2)*1+MOD(INT(MOD(INT((E36)/16777216),256)/2^1),2)*MOD(INT(MOD(INT(((4294967295-F36))/16777216),256)/2^1),2)*2+MOD(INT(MOD(INT((E36)/16777216),256)/2^2),2)*MOD(INT(MOD(INT(((4294967295-F36))/16777216),256)/2^2),2)*4+MOD(INT(MOD(INT((E36)/16777216),256)/2^3),2)*MOD(INT(MOD(INT(((4294967295-F36))/16777216),256)/2^3),2)*8+MOD(INT(MOD(INT((E36)/16777216),256)/2^4),2)*MOD(INT(MOD(INT(((4294967295-F36))/16777216),256)/2^4),2)*16+MOD(INT(MOD(INT((E36)/16777216),256)/2^5),2)*MOD(INT(MOD(INT(((4294967295-F36))/16777216),256)/2^5),2)*32+MOD(INT(MOD(INT((E36)/16777216),256)/2^6),2)*MOD(INT(MOD(INT(((4294967295-F36))/16777216),256)/2^6),2)*64+MOD(INT(MOD(INT((E36)/16777216),256)/2^7),2)*MOD(INT(MOD(INT(((4294967295-F36))/16777216),256)/2^7),2)*128)*16777216)</f>
        <v>177291267</v>
      </c>
      <c r="I37" s="37" t="s">
        <v>138</v>
      </c>
      <c r="J37" s="39" t="n">
        <f aca="false">MOD(G37+H37,4294967296)</f>
        <v>2597437479</v>
      </c>
      <c r="K37" s="36" t="n">
        <f aca="false">(0)+(0)*256+(0)*65536+(0)*16777216</f>
        <v>0</v>
      </c>
      <c r="L37" s="36" t="n">
        <f aca="false">'📦 MD5 Constants'!C35</f>
        <v>2368359562</v>
      </c>
      <c r="M37" s="36" t="n">
        <f aca="false">'📦 MD5 Constants'!H35</f>
        <v>20</v>
      </c>
      <c r="N37" s="36" t="n">
        <f aca="false">MOD(C36+J37+K37+'📦 MD5 Constants'!C35,4294967296)</f>
        <v>4275705933</v>
      </c>
      <c r="O37" s="36" t="n">
        <f aca="false">MOD(MOD(N37,2^12)*2^20+INT(N37/2^12),4294967296)</f>
        <v>2229267873</v>
      </c>
      <c r="P37" s="39" t="n">
        <f aca="false">D37</f>
        <v>509132245</v>
      </c>
      <c r="Q37" s="34" t="s">
        <v>170</v>
      </c>
    </row>
    <row r="38" customFormat="false" ht="13.5" hidden="false" customHeight="true" outlineLevel="0" collapsed="false">
      <c r="B38" s="40" t="n">
        <v>33</v>
      </c>
      <c r="C38" s="41" t="n">
        <f aca="false">F37</f>
        <v>1524089379</v>
      </c>
      <c r="D38" s="41" t="n">
        <f aca="false">MOD(D37+O38,4294967296)</f>
        <v>1105217762</v>
      </c>
      <c r="E38" s="41" t="n">
        <f aca="false">D37</f>
        <v>509132245</v>
      </c>
      <c r="F38" s="41" t="n">
        <f aca="false">E37</f>
        <v>2574831668</v>
      </c>
      <c r="G38" s="36" t="n">
        <f aca="false">((MOD(INT(MOD(INT((D37)/1),256)/2^0),2)*MOD(INT(MOD(INT((E37)/1),256)/2^0),2)*1+MOD(INT(MOD(INT((D37)/1),256)/2^1),2)*MOD(INT(MOD(INT((E37)/1),256)/2^1),2)*2+MOD(INT(MOD(INT((D37)/1),256)/2^2),2)*MOD(INT(MOD(INT((E37)/1),256)/2^2),2)*4+MOD(INT(MOD(INT((D37)/1),256)/2^3),2)*MOD(INT(MOD(INT((E37)/1),256)/2^3),2)*8+MOD(INT(MOD(INT((D37)/1),256)/2^4),2)*MOD(INT(MOD(INT((E37)/1),256)/2^4),2)*16+MOD(INT(MOD(INT((D37)/1),256)/2^5),2)*MOD(INT(MOD(INT((E37)/1),256)/2^5),2)*32+MOD(INT(MOD(INT((D37)/1),256)/2^6),2)*MOD(INT(MOD(INT((E37)/1),256)/2^6),2)*64+MOD(INT(MOD(INT((D37)/1),256)/2^7),2)*MOD(INT(MOD(INT((E37)/1),256)/2^7),2)*128)*1+(MOD(INT(MOD(INT((D37)/256),256)/2^0),2)*MOD(INT(MOD(INT((E37)/256),256)/2^0),2)*1+MOD(INT(MOD(INT((D37)/256),256)/2^1),2)*MOD(INT(MOD(INT((E37)/256),256)/2^1),2)*2+MOD(INT(MOD(INT((D37)/256),256)/2^2),2)*MOD(INT(MOD(INT((E37)/256),256)/2^2),2)*4+MOD(INT(MOD(INT((D37)/256),256)/2^3),2)*MOD(INT(MOD(INT((E37)/256),256)/2^3),2)*8+MOD(INT(MOD(INT((D37)/256),256)/2^4),2)*MOD(INT(MOD(INT((E37)/256),256)/2^4),2)*16+MOD(INT(MOD(INT((D37)/256),256)/2^5),2)*MOD(INT(MOD(INT((E37)/256),256)/2^5),2)*32+MOD(INT(MOD(INT((D37)/256),256)/2^6),2)*MOD(INT(MOD(INT((E37)/256),256)/2^6),2)*64+MOD(INT(MOD(INT((D37)/256),256)/2^7),2)*MOD(INT(MOD(INT((E37)/256),256)/2^7),2)*128)*256+(MOD(INT(MOD(INT((D37)/65536),256)/2^0),2)*MOD(INT(MOD(INT((E37)/65536),256)/2^0),2)*1+MOD(INT(MOD(INT((D37)/65536),256)/2^1),2)*MOD(INT(MOD(INT((E37)/65536),256)/2^1),2)*2+MOD(INT(MOD(INT((D37)/65536),256)/2^2),2)*MOD(INT(MOD(INT((E37)/65536),256)/2^2),2)*4+MOD(INT(MOD(INT((D37)/65536),256)/2^3),2)*MOD(INT(MOD(INT((E37)/65536),256)/2^3),2)*8+MOD(INT(MOD(INT((D37)/65536),256)/2^4),2)*MOD(INT(MOD(INT((E37)/65536),256)/2^4),2)*16+MOD(INT(MOD(INT((D37)/65536),256)/2^5),2)*MOD(INT(MOD(INT((E37)/65536),256)/2^5),2)*32+MOD(INT(MOD(INT((D37)/65536),256)/2^6),2)*MOD(INT(MOD(INT((E37)/65536),256)/2^6),2)*64+MOD(INT(MOD(INT((D37)/65536),256)/2^7),2)*MOD(INT(MOD(INT((E37)/65536),256)/2^7),2)*128)*65536+(MOD(INT(MOD(INT((D37)/16777216),256)/2^0),2)*MOD(INT(MOD(INT((E37)/16777216),256)/2^0),2)*1+MOD(INT(MOD(INT((D37)/16777216),256)/2^1),2)*MOD(INT(MOD(INT((E37)/16777216),256)/2^1),2)*2+MOD(INT(MOD(INT((D37)/16777216),256)/2^2),2)*MOD(INT(MOD(INT((E37)/16777216),256)/2^2),2)*4+MOD(INT(MOD(INT((D37)/16777216),256)/2^3),2)*MOD(INT(MOD(INT((E37)/16777216),256)/2^3),2)*8+MOD(INT(MOD(INT((D37)/16777216),256)/2^4),2)*MOD(INT(MOD(INT((E37)/16777216),256)/2^4),2)*16+MOD(INT(MOD(INT((D37)/16777216),256)/2^5),2)*MOD(INT(MOD(INT((E37)/16777216),256)/2^5),2)*32+MOD(INT(MOD(INT((D37)/16777216),256)/2^6),2)*MOD(INT(MOD(INT((E37)/16777216),256)/2^6),2)*64+MOD(INT(MOD(INT((D37)/16777216),256)/2^7),2)*MOD(INT(MOD(INT((E37)/16777216),256)/2^7),2)*128)*16777216)</f>
        <v>408457236</v>
      </c>
      <c r="H38" s="36" t="n">
        <f aca="false">MOD(D37+E37-2*G38,4294967296)</f>
        <v>2267049441</v>
      </c>
      <c r="I38" s="36" t="n">
        <f aca="false">((MOD(INT(MOD(INT((H38)/1),256)/2^0),2)*MOD(INT(MOD(INT((F37)/1),256)/2^0),2)*1+MOD(INT(MOD(INT((H38)/1),256)/2^1),2)*MOD(INT(MOD(INT((F37)/1),256)/2^1),2)*2+MOD(INT(MOD(INT((H38)/1),256)/2^2),2)*MOD(INT(MOD(INT((F37)/1),256)/2^2),2)*4+MOD(INT(MOD(INT((H38)/1),256)/2^3),2)*MOD(INT(MOD(INT((F37)/1),256)/2^3),2)*8+MOD(INT(MOD(INT((H38)/1),256)/2^4),2)*MOD(INT(MOD(INT((F37)/1),256)/2^4),2)*16+MOD(INT(MOD(INT((H38)/1),256)/2^5),2)*MOD(INT(MOD(INT((F37)/1),256)/2^5),2)*32+MOD(INT(MOD(INT((H38)/1),256)/2^6),2)*MOD(INT(MOD(INT((F37)/1),256)/2^6),2)*64+MOD(INT(MOD(INT((H38)/1),256)/2^7),2)*MOD(INT(MOD(INT((F37)/1),256)/2^7),2)*128)*1+(MOD(INT(MOD(INT((H38)/256),256)/2^0),2)*MOD(INT(MOD(INT((F37)/256),256)/2^0),2)*1+MOD(INT(MOD(INT((H38)/256),256)/2^1),2)*MOD(INT(MOD(INT((F37)/256),256)/2^1),2)*2+MOD(INT(MOD(INT((H38)/256),256)/2^2),2)*MOD(INT(MOD(INT((F37)/256),256)/2^2),2)*4+MOD(INT(MOD(INT((H38)/256),256)/2^3),2)*MOD(INT(MOD(INT((F37)/256),256)/2^3),2)*8+MOD(INT(MOD(INT((H38)/256),256)/2^4),2)*MOD(INT(MOD(INT((F37)/256),256)/2^4),2)*16+MOD(INT(MOD(INT((H38)/256),256)/2^5),2)*MOD(INT(MOD(INT((F37)/256),256)/2^5),2)*32+MOD(INT(MOD(INT((H38)/256),256)/2^6),2)*MOD(INT(MOD(INT((F37)/256),256)/2^6),2)*64+MOD(INT(MOD(INT((H38)/256),256)/2^7),2)*MOD(INT(MOD(INT((F37)/256),256)/2^7),2)*128)*256+(MOD(INT(MOD(INT((H38)/65536),256)/2^0),2)*MOD(INT(MOD(INT((F37)/65536),256)/2^0),2)*1+MOD(INT(MOD(INT((H38)/65536),256)/2^1),2)*MOD(INT(MOD(INT((F37)/65536),256)/2^1),2)*2+MOD(INT(MOD(INT((H38)/65536),256)/2^2),2)*MOD(INT(MOD(INT((F37)/65536),256)/2^2),2)*4+MOD(INT(MOD(INT((H38)/65536),256)/2^3),2)*MOD(INT(MOD(INT((F37)/65536),256)/2^3),2)*8+MOD(INT(MOD(INT((H38)/65536),256)/2^4),2)*MOD(INT(MOD(INT((F37)/65536),256)/2^4),2)*16+MOD(INT(MOD(INT((H38)/65536),256)/2^5),2)*MOD(INT(MOD(INT((F37)/65536),256)/2^5),2)*32+MOD(INT(MOD(INT((H38)/65536),256)/2^6),2)*MOD(INT(MOD(INT((F37)/65536),256)/2^6),2)*64+MOD(INT(MOD(INT((H38)/65536),256)/2^7),2)*MOD(INT(MOD(INT((F37)/65536),256)/2^7),2)*128)*65536+(MOD(INT(MOD(INT((H38)/16777216),256)/2^0),2)*MOD(INT(MOD(INT((F37)/16777216),256)/2^0),2)*1+MOD(INT(MOD(INT((H38)/16777216),256)/2^1),2)*MOD(INT(MOD(INT((F37)/16777216),256)/2^1),2)*2+MOD(INT(MOD(INT((H38)/16777216),256)/2^2),2)*MOD(INT(MOD(INT((F37)/16777216),256)/2^2),2)*4+MOD(INT(MOD(INT((H38)/16777216),256)/2^3),2)*MOD(INT(MOD(INT((F37)/16777216),256)/2^3),2)*8+MOD(INT(MOD(INT((H38)/16777216),256)/2^4),2)*MOD(INT(MOD(INT((F37)/16777216),256)/2^4),2)*16+MOD(INT(MOD(INT((H38)/16777216),256)/2^5),2)*MOD(INT(MOD(INT((F37)/16777216),256)/2^5),2)*32+MOD(INT(MOD(INT((H38)/16777216),256)/2^6),2)*MOD(INT(MOD(INT((F37)/16777216),256)/2^6),2)*64+MOD(INT(MOD(INT((H38)/16777216),256)/2^7),2)*MOD(INT(MOD(INT((F37)/16777216),256)/2^7),2)*128)*16777216)</f>
        <v>33570849</v>
      </c>
      <c r="J38" s="41" t="n">
        <f aca="false">MOD(H38+F37-2*I38,4294967296)</f>
        <v>3723997122</v>
      </c>
      <c r="K38" s="36" t="n">
        <f aca="false">(0)+(0)*256+(0)*65536+(0)*16777216</f>
        <v>0</v>
      </c>
      <c r="L38" s="36" t="n">
        <f aca="false">'📦 MD5 Constants'!C36</f>
        <v>4294588738</v>
      </c>
      <c r="M38" s="36" t="n">
        <f aca="false">'📦 MD5 Constants'!H36</f>
        <v>4</v>
      </c>
      <c r="N38" s="36" t="n">
        <f aca="false">MOD(C37+J38+K38+'📦 MD5 Constants'!C36,4294967296)</f>
        <v>3526916272</v>
      </c>
      <c r="O38" s="36" t="n">
        <f aca="false">MOD(MOD(N38,2^28)*2^4+INT(N38/2^28),4294967296)</f>
        <v>596085517</v>
      </c>
      <c r="P38" s="41" t="n">
        <f aca="false">D38</f>
        <v>1105217762</v>
      </c>
      <c r="Q38" s="34" t="s">
        <v>171</v>
      </c>
    </row>
    <row r="39" customFormat="false" ht="13.5" hidden="false" customHeight="true" outlineLevel="0" collapsed="false">
      <c r="B39" s="40" t="n">
        <v>34</v>
      </c>
      <c r="C39" s="41" t="n">
        <f aca="false">F38</f>
        <v>2574831668</v>
      </c>
      <c r="D39" s="41" t="n">
        <f aca="false">MOD(D38+O39,4294967296)</f>
        <v>2429388330</v>
      </c>
      <c r="E39" s="41" t="n">
        <f aca="false">D38</f>
        <v>1105217762</v>
      </c>
      <c r="F39" s="41" t="n">
        <f aca="false">E38</f>
        <v>509132245</v>
      </c>
      <c r="G39" s="36" t="n">
        <f aca="false">((MOD(INT(MOD(INT((D38)/1),256)/2^0),2)*MOD(INT(MOD(INT((E38)/1),256)/2^0),2)*1+MOD(INT(MOD(INT((D38)/1),256)/2^1),2)*MOD(INT(MOD(INT((E38)/1),256)/2^1),2)*2+MOD(INT(MOD(INT((D38)/1),256)/2^2),2)*MOD(INT(MOD(INT((E38)/1),256)/2^2),2)*4+MOD(INT(MOD(INT((D38)/1),256)/2^3),2)*MOD(INT(MOD(INT((E38)/1),256)/2^3),2)*8+MOD(INT(MOD(INT((D38)/1),256)/2^4),2)*MOD(INT(MOD(INT((E38)/1),256)/2^4),2)*16+MOD(INT(MOD(INT((D38)/1),256)/2^5),2)*MOD(INT(MOD(INT((E38)/1),256)/2^5),2)*32+MOD(INT(MOD(INT((D38)/1),256)/2^6),2)*MOD(INT(MOD(INT((E38)/1),256)/2^6),2)*64+MOD(INT(MOD(INT((D38)/1),256)/2^7),2)*MOD(INT(MOD(INT((E38)/1),256)/2^7),2)*128)*1+(MOD(INT(MOD(INT((D38)/256),256)/2^0),2)*MOD(INT(MOD(INT((E38)/256),256)/2^0),2)*1+MOD(INT(MOD(INT((D38)/256),256)/2^1),2)*MOD(INT(MOD(INT((E38)/256),256)/2^1),2)*2+MOD(INT(MOD(INT((D38)/256),256)/2^2),2)*MOD(INT(MOD(INT((E38)/256),256)/2^2),2)*4+MOD(INT(MOD(INT((D38)/256),256)/2^3),2)*MOD(INT(MOD(INT((E38)/256),256)/2^3),2)*8+MOD(INT(MOD(INT((D38)/256),256)/2^4),2)*MOD(INT(MOD(INT((E38)/256),256)/2^4),2)*16+MOD(INT(MOD(INT((D38)/256),256)/2^5),2)*MOD(INT(MOD(INT((E38)/256),256)/2^5),2)*32+MOD(INT(MOD(INT((D38)/256),256)/2^6),2)*MOD(INT(MOD(INT((E38)/256),256)/2^6),2)*64+MOD(INT(MOD(INT((D38)/256),256)/2^7),2)*MOD(INT(MOD(INT((E38)/256),256)/2^7),2)*128)*256+(MOD(INT(MOD(INT((D38)/65536),256)/2^0),2)*MOD(INT(MOD(INT((E38)/65536),256)/2^0),2)*1+MOD(INT(MOD(INT((D38)/65536),256)/2^1),2)*MOD(INT(MOD(INT((E38)/65536),256)/2^1),2)*2+MOD(INT(MOD(INT((D38)/65536),256)/2^2),2)*MOD(INT(MOD(INT((E38)/65536),256)/2^2),2)*4+MOD(INT(MOD(INT((D38)/65536),256)/2^3),2)*MOD(INT(MOD(INT((E38)/65536),256)/2^3),2)*8+MOD(INT(MOD(INT((D38)/65536),256)/2^4),2)*MOD(INT(MOD(INT((E38)/65536),256)/2^4),2)*16+MOD(INT(MOD(INT((D38)/65536),256)/2^5),2)*MOD(INT(MOD(INT((E38)/65536),256)/2^5),2)*32+MOD(INT(MOD(INT((D38)/65536),256)/2^6),2)*MOD(INT(MOD(INT((E38)/65536),256)/2^6),2)*64+MOD(INT(MOD(INT((D38)/65536),256)/2^7),2)*MOD(INT(MOD(INT((E38)/65536),256)/2^7),2)*128)*65536+(MOD(INT(MOD(INT((D38)/16777216),256)/2^0),2)*MOD(INT(MOD(INT((E38)/16777216),256)/2^0),2)*1+MOD(INT(MOD(INT((D38)/16777216),256)/2^1),2)*MOD(INT(MOD(INT((E38)/16777216),256)/2^1),2)*2+MOD(INT(MOD(INT((D38)/16777216),256)/2^2),2)*MOD(INT(MOD(INT((E38)/16777216),256)/2^2),2)*4+MOD(INT(MOD(INT((D38)/16777216),256)/2^3),2)*MOD(INT(MOD(INT((E38)/16777216),256)/2^3),2)*8+MOD(INT(MOD(INT((D38)/16777216),256)/2^4),2)*MOD(INT(MOD(INT((E38)/16777216),256)/2^4),2)*16+MOD(INT(MOD(INT((D38)/16777216),256)/2^5),2)*MOD(INT(MOD(INT((E38)/16777216),256)/2^5),2)*32+MOD(INT(MOD(INT((D38)/16777216),256)/2^6),2)*MOD(INT(MOD(INT((E38)/16777216),256)/2^6),2)*64+MOD(INT(MOD(INT((D38)/16777216),256)/2^7),2)*MOD(INT(MOD(INT((E38)/16777216),256)/2^7),2)*128)*16777216)</f>
        <v>4196544</v>
      </c>
      <c r="H39" s="36" t="n">
        <f aca="false">MOD(D38+E38-2*G39,4294967296)</f>
        <v>1605956919</v>
      </c>
      <c r="I39" s="36" t="n">
        <f aca="false">((MOD(INT(MOD(INT((H39)/1),256)/2^0),2)*MOD(INT(MOD(INT((F38)/1),256)/2^0),2)*1+MOD(INT(MOD(INT((H39)/1),256)/2^1),2)*MOD(INT(MOD(INT((F38)/1),256)/2^1),2)*2+MOD(INT(MOD(INT((H39)/1),256)/2^2),2)*MOD(INT(MOD(INT((F38)/1),256)/2^2),2)*4+MOD(INT(MOD(INT((H39)/1),256)/2^3),2)*MOD(INT(MOD(INT((F38)/1),256)/2^3),2)*8+MOD(INT(MOD(INT((H39)/1),256)/2^4),2)*MOD(INT(MOD(INT((F38)/1),256)/2^4),2)*16+MOD(INT(MOD(INT((H39)/1),256)/2^5),2)*MOD(INT(MOD(INT((F38)/1),256)/2^5),2)*32+MOD(INT(MOD(INT((H39)/1),256)/2^6),2)*MOD(INT(MOD(INT((F38)/1),256)/2^6),2)*64+MOD(INT(MOD(INT((H39)/1),256)/2^7),2)*MOD(INT(MOD(INT((F38)/1),256)/2^7),2)*128)*1+(MOD(INT(MOD(INT((H39)/256),256)/2^0),2)*MOD(INT(MOD(INT((F38)/256),256)/2^0),2)*1+MOD(INT(MOD(INT((H39)/256),256)/2^1),2)*MOD(INT(MOD(INT((F38)/256),256)/2^1),2)*2+MOD(INT(MOD(INT((H39)/256),256)/2^2),2)*MOD(INT(MOD(INT((F38)/256),256)/2^2),2)*4+MOD(INT(MOD(INT((H39)/256),256)/2^3),2)*MOD(INT(MOD(INT((F38)/256),256)/2^3),2)*8+MOD(INT(MOD(INT((H39)/256),256)/2^4),2)*MOD(INT(MOD(INT((F38)/256),256)/2^4),2)*16+MOD(INT(MOD(INT((H39)/256),256)/2^5),2)*MOD(INT(MOD(INT((F38)/256),256)/2^5),2)*32+MOD(INT(MOD(INT((H39)/256),256)/2^6),2)*MOD(INT(MOD(INT((F38)/256),256)/2^6),2)*64+MOD(INT(MOD(INT((H39)/256),256)/2^7),2)*MOD(INT(MOD(INT((F38)/256),256)/2^7),2)*128)*256+(MOD(INT(MOD(INT((H39)/65536),256)/2^0),2)*MOD(INT(MOD(INT((F38)/65536),256)/2^0),2)*1+MOD(INT(MOD(INT((H39)/65536),256)/2^1),2)*MOD(INT(MOD(INT((F38)/65536),256)/2^1),2)*2+MOD(INT(MOD(INT((H39)/65536),256)/2^2),2)*MOD(INT(MOD(INT((F38)/65536),256)/2^2),2)*4+MOD(INT(MOD(INT((H39)/65536),256)/2^3),2)*MOD(INT(MOD(INT((F38)/65536),256)/2^3),2)*8+MOD(INT(MOD(INT((H39)/65536),256)/2^4),2)*MOD(INT(MOD(INT((F38)/65536),256)/2^4),2)*16+MOD(INT(MOD(INT((H39)/65536),256)/2^5),2)*MOD(INT(MOD(INT((F38)/65536),256)/2^5),2)*32+MOD(INT(MOD(INT((H39)/65536),256)/2^6),2)*MOD(INT(MOD(INT((F38)/65536),256)/2^6),2)*64+MOD(INT(MOD(INT((H39)/65536),256)/2^7),2)*MOD(INT(MOD(INT((F38)/65536),256)/2^7),2)*128)*65536+(MOD(INT(MOD(INT((H39)/16777216),256)/2^0),2)*MOD(INT(MOD(INT((F38)/16777216),256)/2^0),2)*1+MOD(INT(MOD(INT((H39)/16777216),256)/2^1),2)*MOD(INT(MOD(INT((F38)/16777216),256)/2^1),2)*2+MOD(INT(MOD(INT((H39)/16777216),256)/2^2),2)*MOD(INT(MOD(INT((F38)/16777216),256)/2^2),2)*4+MOD(INT(MOD(INT((H39)/16777216),256)/2^3),2)*MOD(INT(MOD(INT((F38)/16777216),256)/2^3),2)*8+MOD(INT(MOD(INT((H39)/16777216),256)/2^4),2)*MOD(INT(MOD(INT((F38)/16777216),256)/2^4),2)*16+MOD(INT(MOD(INT((H39)/16777216),256)/2^5),2)*MOD(INT(MOD(INT((F38)/16777216),256)/2^5),2)*32+MOD(INT(MOD(INT((H39)/16777216),256)/2^6),2)*MOD(INT(MOD(INT((F38)/16777216),256)/2^6),2)*64+MOD(INT(MOD(INT((H39)/16777216),256)/2^7),2)*MOD(INT(MOD(INT((F38)/16777216),256)/2^7),2)*128)*16777216)</f>
        <v>423153716</v>
      </c>
      <c r="J39" s="41" t="n">
        <f aca="false">MOD(H39+F38-2*I39,4294967296)</f>
        <v>3334481155</v>
      </c>
      <c r="K39" s="36" t="n">
        <f aca="false">(0)+(0)*256+(0)*65536+(0)*16777216</f>
        <v>0</v>
      </c>
      <c r="L39" s="36" t="n">
        <f aca="false">'📦 MD5 Constants'!C37</f>
        <v>2272392833</v>
      </c>
      <c r="M39" s="36" t="n">
        <f aca="false">'📦 MD5 Constants'!H37</f>
        <v>11</v>
      </c>
      <c r="N39" s="36" t="n">
        <f aca="false">MOD(C38+J39+K39+'📦 MD5 Constants'!C37,4294967296)</f>
        <v>2835996071</v>
      </c>
      <c r="O39" s="36" t="n">
        <f aca="false">MOD(MOD(N39,2^21)*2^11+INT(N39/2^21),4294967296)</f>
        <v>1324170568</v>
      </c>
      <c r="P39" s="41" t="n">
        <f aca="false">D39</f>
        <v>2429388330</v>
      </c>
      <c r="Q39" s="34" t="s">
        <v>172</v>
      </c>
    </row>
    <row r="40" customFormat="false" ht="13.5" hidden="false" customHeight="true" outlineLevel="0" collapsed="false">
      <c r="B40" s="40" t="n">
        <v>35</v>
      </c>
      <c r="C40" s="41" t="n">
        <f aca="false">F39</f>
        <v>509132245</v>
      </c>
      <c r="D40" s="41" t="n">
        <f aca="false">MOD(D39+O40,4294967296)</f>
        <v>893476021</v>
      </c>
      <c r="E40" s="41" t="n">
        <f aca="false">D39</f>
        <v>2429388330</v>
      </c>
      <c r="F40" s="41" t="n">
        <f aca="false">E39</f>
        <v>1105217762</v>
      </c>
      <c r="G40" s="36" t="n">
        <f aca="false">((MOD(INT(MOD(INT((D39)/1),256)/2^0),2)*MOD(INT(MOD(INT((E39)/1),256)/2^0),2)*1+MOD(INT(MOD(INT((D39)/1),256)/2^1),2)*MOD(INT(MOD(INT((E39)/1),256)/2^1),2)*2+MOD(INT(MOD(INT((D39)/1),256)/2^2),2)*MOD(INT(MOD(INT((E39)/1),256)/2^2),2)*4+MOD(INT(MOD(INT((D39)/1),256)/2^3),2)*MOD(INT(MOD(INT((E39)/1),256)/2^3),2)*8+MOD(INT(MOD(INT((D39)/1),256)/2^4),2)*MOD(INT(MOD(INT((E39)/1),256)/2^4),2)*16+MOD(INT(MOD(INT((D39)/1),256)/2^5),2)*MOD(INT(MOD(INT((E39)/1),256)/2^5),2)*32+MOD(INT(MOD(INT((D39)/1),256)/2^6),2)*MOD(INT(MOD(INT((E39)/1),256)/2^6),2)*64+MOD(INT(MOD(INT((D39)/1),256)/2^7),2)*MOD(INT(MOD(INT((E39)/1),256)/2^7),2)*128)*1+(MOD(INT(MOD(INT((D39)/256),256)/2^0),2)*MOD(INT(MOD(INT((E39)/256),256)/2^0),2)*1+MOD(INT(MOD(INT((D39)/256),256)/2^1),2)*MOD(INT(MOD(INT((E39)/256),256)/2^1),2)*2+MOD(INT(MOD(INT((D39)/256),256)/2^2),2)*MOD(INT(MOD(INT((E39)/256),256)/2^2),2)*4+MOD(INT(MOD(INT((D39)/256),256)/2^3),2)*MOD(INT(MOD(INT((E39)/256),256)/2^3),2)*8+MOD(INT(MOD(INT((D39)/256),256)/2^4),2)*MOD(INT(MOD(INT((E39)/256),256)/2^4),2)*16+MOD(INT(MOD(INT((D39)/256),256)/2^5),2)*MOD(INT(MOD(INT((E39)/256),256)/2^5),2)*32+MOD(INT(MOD(INT((D39)/256),256)/2^6),2)*MOD(INT(MOD(INT((E39)/256),256)/2^6),2)*64+MOD(INT(MOD(INT((D39)/256),256)/2^7),2)*MOD(INT(MOD(INT((E39)/256),256)/2^7),2)*128)*256+(MOD(INT(MOD(INT((D39)/65536),256)/2^0),2)*MOD(INT(MOD(INT((E39)/65536),256)/2^0),2)*1+MOD(INT(MOD(INT((D39)/65536),256)/2^1),2)*MOD(INT(MOD(INT((E39)/65536),256)/2^1),2)*2+MOD(INT(MOD(INT((D39)/65536),256)/2^2),2)*MOD(INT(MOD(INT((E39)/65536),256)/2^2),2)*4+MOD(INT(MOD(INT((D39)/65536),256)/2^3),2)*MOD(INT(MOD(INT((E39)/65536),256)/2^3),2)*8+MOD(INT(MOD(INT((D39)/65536),256)/2^4),2)*MOD(INT(MOD(INT((E39)/65536),256)/2^4),2)*16+MOD(INT(MOD(INT((D39)/65536),256)/2^5),2)*MOD(INT(MOD(INT((E39)/65536),256)/2^5),2)*32+MOD(INT(MOD(INT((D39)/65536),256)/2^6),2)*MOD(INT(MOD(INT((E39)/65536),256)/2^6),2)*64+MOD(INT(MOD(INT((D39)/65536),256)/2^7),2)*MOD(INT(MOD(INT((E39)/65536),256)/2^7),2)*128)*65536+(MOD(INT(MOD(INT((D39)/16777216),256)/2^0),2)*MOD(INT(MOD(INT((E39)/16777216),256)/2^0),2)*1+MOD(INT(MOD(INT((D39)/16777216),256)/2^1),2)*MOD(INT(MOD(INT((E39)/16777216),256)/2^1),2)*2+MOD(INT(MOD(INT((D39)/16777216),256)/2^2),2)*MOD(INT(MOD(INT((E39)/16777216),256)/2^2),2)*4+MOD(INT(MOD(INT((D39)/16777216),256)/2^3),2)*MOD(INT(MOD(INT((E39)/16777216),256)/2^3),2)*8+MOD(INT(MOD(INT((D39)/16777216),256)/2^4),2)*MOD(INT(MOD(INT((E39)/16777216),256)/2^4),2)*16+MOD(INT(MOD(INT((D39)/16777216),256)/2^5),2)*MOD(INT(MOD(INT((E39)/16777216),256)/2^5),2)*32+MOD(INT(MOD(INT((D39)/16777216),256)/2^6),2)*MOD(INT(MOD(INT((E39)/16777216),256)/2^6),2)*64+MOD(INT(MOD(INT((D39)/16777216),256)/2^7),2)*MOD(INT(MOD(INT((E39)/16777216),256)/2^7),2)*128)*16777216)</f>
        <v>12582946</v>
      </c>
      <c r="H40" s="36" t="n">
        <f aca="false">MOD(D39+E39-2*G40,4294967296)</f>
        <v>3509440200</v>
      </c>
      <c r="I40" s="36" t="n">
        <f aca="false">((MOD(INT(MOD(INT((H40)/1),256)/2^0),2)*MOD(INT(MOD(INT((F39)/1),256)/2^0),2)*1+MOD(INT(MOD(INT((H40)/1),256)/2^1),2)*MOD(INT(MOD(INT((F39)/1),256)/2^1),2)*2+MOD(INT(MOD(INT((H40)/1),256)/2^2),2)*MOD(INT(MOD(INT((F39)/1),256)/2^2),2)*4+MOD(INT(MOD(INT((H40)/1),256)/2^3),2)*MOD(INT(MOD(INT((F39)/1),256)/2^3),2)*8+MOD(INT(MOD(INT((H40)/1),256)/2^4),2)*MOD(INT(MOD(INT((F39)/1),256)/2^4),2)*16+MOD(INT(MOD(INT((H40)/1),256)/2^5),2)*MOD(INT(MOD(INT((F39)/1),256)/2^5),2)*32+MOD(INT(MOD(INT((H40)/1),256)/2^6),2)*MOD(INT(MOD(INT((F39)/1),256)/2^6),2)*64+MOD(INT(MOD(INT((H40)/1),256)/2^7),2)*MOD(INT(MOD(INT((F39)/1),256)/2^7),2)*128)*1+(MOD(INT(MOD(INT((H40)/256),256)/2^0),2)*MOD(INT(MOD(INT((F39)/256),256)/2^0),2)*1+MOD(INT(MOD(INT((H40)/256),256)/2^1),2)*MOD(INT(MOD(INT((F39)/256),256)/2^1),2)*2+MOD(INT(MOD(INT((H40)/256),256)/2^2),2)*MOD(INT(MOD(INT((F39)/256),256)/2^2),2)*4+MOD(INT(MOD(INT((H40)/256),256)/2^3),2)*MOD(INT(MOD(INT((F39)/256),256)/2^3),2)*8+MOD(INT(MOD(INT((H40)/256),256)/2^4),2)*MOD(INT(MOD(INT((F39)/256),256)/2^4),2)*16+MOD(INT(MOD(INT((H40)/256),256)/2^5),2)*MOD(INT(MOD(INT((F39)/256),256)/2^5),2)*32+MOD(INT(MOD(INT((H40)/256),256)/2^6),2)*MOD(INT(MOD(INT((F39)/256),256)/2^6),2)*64+MOD(INT(MOD(INT((H40)/256),256)/2^7),2)*MOD(INT(MOD(INT((F39)/256),256)/2^7),2)*128)*256+(MOD(INT(MOD(INT((H40)/65536),256)/2^0),2)*MOD(INT(MOD(INT((F39)/65536),256)/2^0),2)*1+MOD(INT(MOD(INT((H40)/65536),256)/2^1),2)*MOD(INT(MOD(INT((F39)/65536),256)/2^1),2)*2+MOD(INT(MOD(INT((H40)/65536),256)/2^2),2)*MOD(INT(MOD(INT((F39)/65536),256)/2^2),2)*4+MOD(INT(MOD(INT((H40)/65536),256)/2^3),2)*MOD(INT(MOD(INT((F39)/65536),256)/2^3),2)*8+MOD(INT(MOD(INT((H40)/65536),256)/2^4),2)*MOD(INT(MOD(INT((F39)/65536),256)/2^4),2)*16+MOD(INT(MOD(INT((H40)/65536),256)/2^5),2)*MOD(INT(MOD(INT((F39)/65536),256)/2^5),2)*32+MOD(INT(MOD(INT((H40)/65536),256)/2^6),2)*MOD(INT(MOD(INT((F39)/65536),256)/2^6),2)*64+MOD(INT(MOD(INT((H40)/65536),256)/2^7),2)*MOD(INT(MOD(INT((F39)/65536),256)/2^7),2)*128)*65536+(MOD(INT(MOD(INT((H40)/16777216),256)/2^0),2)*MOD(INT(MOD(INT((F39)/16777216),256)/2^0),2)*1+MOD(INT(MOD(INT((H40)/16777216),256)/2^1),2)*MOD(INT(MOD(INT((F39)/16777216),256)/2^1),2)*2+MOD(INT(MOD(INT((H40)/16777216),256)/2^2),2)*MOD(INT(MOD(INT((F39)/16777216),256)/2^2),2)*4+MOD(INT(MOD(INT((H40)/16777216),256)/2^3),2)*MOD(INT(MOD(INT((F39)/16777216),256)/2^3),2)*8+MOD(INT(MOD(INT((H40)/16777216),256)/2^4),2)*MOD(INT(MOD(INT((F39)/16777216),256)/2^4),2)*16+MOD(INT(MOD(INT((H40)/16777216),256)/2^5),2)*MOD(INT(MOD(INT((F39)/16777216),256)/2^5),2)*32+MOD(INT(MOD(INT((H40)/16777216),256)/2^6),2)*MOD(INT(MOD(INT((F39)/16777216),256)/2^6),2)*64+MOD(INT(MOD(INT((H40)/16777216),256)/2^7),2)*MOD(INT(MOD(INT((F39)/16777216),256)/2^7),2)*128)*16777216)</f>
        <v>268995776</v>
      </c>
      <c r="J40" s="41" t="n">
        <f aca="false">MOD(H40+F39-2*I40,4294967296)</f>
        <v>3480580893</v>
      </c>
      <c r="K40" s="36" t="n">
        <f aca="false">(0)+(0)*256+(0)*65536+(0)*16777216</f>
        <v>0</v>
      </c>
      <c r="L40" s="36" t="n">
        <f aca="false">'📦 MD5 Constants'!C38</f>
        <v>1839030562</v>
      </c>
      <c r="M40" s="36" t="n">
        <f aca="false">'📦 MD5 Constants'!H38</f>
        <v>16</v>
      </c>
      <c r="N40" s="36" t="n">
        <f aca="false">MOD(C39+J40+K40+'📦 MD5 Constants'!C38,4294967296)</f>
        <v>3599475827</v>
      </c>
      <c r="O40" s="36" t="n">
        <f aca="false">MOD(MOD(N40,2^16)*2^16+INT(N40/2^16),4294967296)</f>
        <v>2759054987</v>
      </c>
      <c r="P40" s="41" t="n">
        <f aca="false">D40</f>
        <v>893476021</v>
      </c>
      <c r="Q40" s="34" t="s">
        <v>173</v>
      </c>
    </row>
    <row r="41" customFormat="false" ht="13.5" hidden="false" customHeight="true" outlineLevel="0" collapsed="false">
      <c r="B41" s="40" t="n">
        <v>36</v>
      </c>
      <c r="C41" s="41" t="n">
        <f aca="false">F40</f>
        <v>1105217762</v>
      </c>
      <c r="D41" s="41" t="n">
        <f aca="false">MOD(D40+O41,4294967296)</f>
        <v>2017571321</v>
      </c>
      <c r="E41" s="41" t="n">
        <f aca="false">D40</f>
        <v>893476021</v>
      </c>
      <c r="F41" s="41" t="n">
        <f aca="false">E40</f>
        <v>2429388330</v>
      </c>
      <c r="G41" s="36" t="n">
        <f aca="false">((MOD(INT(MOD(INT((D40)/1),256)/2^0),2)*MOD(INT(MOD(INT((E40)/1),256)/2^0),2)*1+MOD(INT(MOD(INT((D40)/1),256)/2^1),2)*MOD(INT(MOD(INT((E40)/1),256)/2^1),2)*2+MOD(INT(MOD(INT((D40)/1),256)/2^2),2)*MOD(INT(MOD(INT((E40)/1),256)/2^2),2)*4+MOD(INT(MOD(INT((D40)/1),256)/2^3),2)*MOD(INT(MOD(INT((E40)/1),256)/2^3),2)*8+MOD(INT(MOD(INT((D40)/1),256)/2^4),2)*MOD(INT(MOD(INT((E40)/1),256)/2^4),2)*16+MOD(INT(MOD(INT((D40)/1),256)/2^5),2)*MOD(INT(MOD(INT((E40)/1),256)/2^5),2)*32+MOD(INT(MOD(INT((D40)/1),256)/2^6),2)*MOD(INT(MOD(INT((E40)/1),256)/2^6),2)*64+MOD(INT(MOD(INT((D40)/1),256)/2^7),2)*MOD(INT(MOD(INT((E40)/1),256)/2^7),2)*128)*1+(MOD(INT(MOD(INT((D40)/256),256)/2^0),2)*MOD(INT(MOD(INT((E40)/256),256)/2^0),2)*1+MOD(INT(MOD(INT((D40)/256),256)/2^1),2)*MOD(INT(MOD(INT((E40)/256),256)/2^1),2)*2+MOD(INT(MOD(INT((D40)/256),256)/2^2),2)*MOD(INT(MOD(INT((E40)/256),256)/2^2),2)*4+MOD(INT(MOD(INT((D40)/256),256)/2^3),2)*MOD(INT(MOD(INT((E40)/256),256)/2^3),2)*8+MOD(INT(MOD(INT((D40)/256),256)/2^4),2)*MOD(INT(MOD(INT((E40)/256),256)/2^4),2)*16+MOD(INT(MOD(INT((D40)/256),256)/2^5),2)*MOD(INT(MOD(INT((E40)/256),256)/2^5),2)*32+MOD(INT(MOD(INT((D40)/256),256)/2^6),2)*MOD(INT(MOD(INT((E40)/256),256)/2^6),2)*64+MOD(INT(MOD(INT((D40)/256),256)/2^7),2)*MOD(INT(MOD(INT((E40)/256),256)/2^7),2)*128)*256+(MOD(INT(MOD(INT((D40)/65536),256)/2^0),2)*MOD(INT(MOD(INT((E40)/65536),256)/2^0),2)*1+MOD(INT(MOD(INT((D40)/65536),256)/2^1),2)*MOD(INT(MOD(INT((E40)/65536),256)/2^1),2)*2+MOD(INT(MOD(INT((D40)/65536),256)/2^2),2)*MOD(INT(MOD(INT((E40)/65536),256)/2^2),2)*4+MOD(INT(MOD(INT((D40)/65536),256)/2^3),2)*MOD(INT(MOD(INT((E40)/65536),256)/2^3),2)*8+MOD(INT(MOD(INT((D40)/65536),256)/2^4),2)*MOD(INT(MOD(INT((E40)/65536),256)/2^4),2)*16+MOD(INT(MOD(INT((D40)/65536),256)/2^5),2)*MOD(INT(MOD(INT((E40)/65536),256)/2^5),2)*32+MOD(INT(MOD(INT((D40)/65536),256)/2^6),2)*MOD(INT(MOD(INT((E40)/65536),256)/2^6),2)*64+MOD(INT(MOD(INT((D40)/65536),256)/2^7),2)*MOD(INT(MOD(INT((E40)/65536),256)/2^7),2)*128)*65536+(MOD(INT(MOD(INT((D40)/16777216),256)/2^0),2)*MOD(INT(MOD(INT((E40)/16777216),256)/2^0),2)*1+MOD(INT(MOD(INT((D40)/16777216),256)/2^1),2)*MOD(INT(MOD(INT((E40)/16777216),256)/2^1),2)*2+MOD(INT(MOD(INT((D40)/16777216),256)/2^2),2)*MOD(INT(MOD(INT((E40)/16777216),256)/2^2),2)*4+MOD(INT(MOD(INT((D40)/16777216),256)/2^3),2)*MOD(INT(MOD(INT((E40)/16777216),256)/2^3),2)*8+MOD(INT(MOD(INT((D40)/16777216),256)/2^4),2)*MOD(INT(MOD(INT((E40)/16777216),256)/2^4),2)*16+MOD(INT(MOD(INT((D40)/16777216),256)/2^5),2)*MOD(INT(MOD(INT((E40)/16777216),256)/2^5),2)*32+MOD(INT(MOD(INT((D40)/16777216),256)/2^6),2)*MOD(INT(MOD(INT((E40)/16777216),256)/2^6),2)*64+MOD(INT(MOD(INT((D40)/16777216),256)/2^7),2)*MOD(INT(MOD(INT((E40)/16777216),256)/2^7),2)*128)*16777216)</f>
        <v>272696352</v>
      </c>
      <c r="H41" s="36" t="n">
        <f aca="false">MOD(D40+E40-2*G41,4294967296)</f>
        <v>2777471647</v>
      </c>
      <c r="I41" s="36" t="n">
        <f aca="false">((MOD(INT(MOD(INT((H41)/1),256)/2^0),2)*MOD(INT(MOD(INT((F40)/1),256)/2^0),2)*1+MOD(INT(MOD(INT((H41)/1),256)/2^1),2)*MOD(INT(MOD(INT((F40)/1),256)/2^1),2)*2+MOD(INT(MOD(INT((H41)/1),256)/2^2),2)*MOD(INT(MOD(INT((F40)/1),256)/2^2),2)*4+MOD(INT(MOD(INT((H41)/1),256)/2^3),2)*MOD(INT(MOD(INT((F40)/1),256)/2^3),2)*8+MOD(INT(MOD(INT((H41)/1),256)/2^4),2)*MOD(INT(MOD(INT((F40)/1),256)/2^4),2)*16+MOD(INT(MOD(INT((H41)/1),256)/2^5),2)*MOD(INT(MOD(INT((F40)/1),256)/2^5),2)*32+MOD(INT(MOD(INT((H41)/1),256)/2^6),2)*MOD(INT(MOD(INT((F40)/1),256)/2^6),2)*64+MOD(INT(MOD(INT((H41)/1),256)/2^7),2)*MOD(INT(MOD(INT((F40)/1),256)/2^7),2)*128)*1+(MOD(INT(MOD(INT((H41)/256),256)/2^0),2)*MOD(INT(MOD(INT((F40)/256),256)/2^0),2)*1+MOD(INT(MOD(INT((H41)/256),256)/2^1),2)*MOD(INT(MOD(INT((F40)/256),256)/2^1),2)*2+MOD(INT(MOD(INT((H41)/256),256)/2^2),2)*MOD(INT(MOD(INT((F40)/256),256)/2^2),2)*4+MOD(INT(MOD(INT((H41)/256),256)/2^3),2)*MOD(INT(MOD(INT((F40)/256),256)/2^3),2)*8+MOD(INT(MOD(INT((H41)/256),256)/2^4),2)*MOD(INT(MOD(INT((F40)/256),256)/2^4),2)*16+MOD(INT(MOD(INT((H41)/256),256)/2^5),2)*MOD(INT(MOD(INT((F40)/256),256)/2^5),2)*32+MOD(INT(MOD(INT((H41)/256),256)/2^6),2)*MOD(INT(MOD(INT((F40)/256),256)/2^6),2)*64+MOD(INT(MOD(INT((H41)/256),256)/2^7),2)*MOD(INT(MOD(INT((F40)/256),256)/2^7),2)*128)*256+(MOD(INT(MOD(INT((H41)/65536),256)/2^0),2)*MOD(INT(MOD(INT((F40)/65536),256)/2^0),2)*1+MOD(INT(MOD(INT((H41)/65536),256)/2^1),2)*MOD(INT(MOD(INT((F40)/65536),256)/2^1),2)*2+MOD(INT(MOD(INT((H41)/65536),256)/2^2),2)*MOD(INT(MOD(INT((F40)/65536),256)/2^2),2)*4+MOD(INT(MOD(INT((H41)/65536),256)/2^3),2)*MOD(INT(MOD(INT((F40)/65536),256)/2^3),2)*8+MOD(INT(MOD(INT((H41)/65536),256)/2^4),2)*MOD(INT(MOD(INT((F40)/65536),256)/2^4),2)*16+MOD(INT(MOD(INT((H41)/65536),256)/2^5),2)*MOD(INT(MOD(INT((F40)/65536),256)/2^5),2)*32+MOD(INT(MOD(INT((H41)/65536),256)/2^6),2)*MOD(INT(MOD(INT((F40)/65536),256)/2^6),2)*64+MOD(INT(MOD(INT((H41)/65536),256)/2^7),2)*MOD(INT(MOD(INT((F40)/65536),256)/2^7),2)*128)*65536+(MOD(INT(MOD(INT((H41)/16777216),256)/2^0),2)*MOD(INT(MOD(INT((F40)/16777216),256)/2^0),2)*1+MOD(INT(MOD(INT((H41)/16777216),256)/2^1),2)*MOD(INT(MOD(INT((F40)/16777216),256)/2^1),2)*2+MOD(INT(MOD(INT((H41)/16777216),256)/2^2),2)*MOD(INT(MOD(INT((F40)/16777216),256)/2^2),2)*4+MOD(INT(MOD(INT((H41)/16777216),256)/2^3),2)*MOD(INT(MOD(INT((F40)/16777216),256)/2^3),2)*8+MOD(INT(MOD(INT((H41)/16777216),256)/2^4),2)*MOD(INT(MOD(INT((F40)/16777216),256)/2^4),2)*16+MOD(INT(MOD(INT((H41)/16777216),256)/2^5),2)*MOD(INT(MOD(INT((F40)/16777216),256)/2^5),2)*32+MOD(INT(MOD(INT((H41)/16777216),256)/2^6),2)*MOD(INT(MOD(INT((F40)/16777216),256)/2^6),2)*64+MOD(INT(MOD(INT((H41)/16777216),256)/2^7),2)*MOD(INT(MOD(INT((F40)/16777216),256)/2^7),2)*128)*16777216)</f>
        <v>25184386</v>
      </c>
      <c r="J41" s="41" t="n">
        <f aca="false">MOD(H41+F40-2*I41,4294967296)</f>
        <v>3832320637</v>
      </c>
      <c r="K41" s="36" t="n">
        <f aca="false">(MOD(LEN('🔐 MD5'!B5)*8,256))+(MOD(INT(LEN('🔐 MD5'!B5)*8/256),256))*256+(MOD(INT(LEN('🔐 MD5'!B5)*8/65536),256))*65536+(MOD(INT(LEN('🔐 MD5'!B5)*8/16777216),256))*16777216</f>
        <v>40</v>
      </c>
      <c r="L41" s="36" t="n">
        <f aca="false">'📦 MD5 Constants'!C39</f>
        <v>4259657740</v>
      </c>
      <c r="M41" s="36" t="n">
        <f aca="false">'📦 MD5 Constants'!H39</f>
        <v>23</v>
      </c>
      <c r="N41" s="36" t="n">
        <f aca="false">MOD(C40+J41+K41+'📦 MD5 Constants'!C39,4294967296)</f>
        <v>11176070</v>
      </c>
      <c r="O41" s="36" t="n">
        <f aca="false">MOD(MOD(N41,2^9)*2^23+INT(N41/2^9),4294967296)</f>
        <v>1124095300</v>
      </c>
      <c r="P41" s="41" t="n">
        <f aca="false">D41</f>
        <v>2017571321</v>
      </c>
      <c r="Q41" s="34" t="s">
        <v>174</v>
      </c>
    </row>
    <row r="42" customFormat="false" ht="13.5" hidden="false" customHeight="true" outlineLevel="0" collapsed="false">
      <c r="B42" s="40" t="n">
        <v>37</v>
      </c>
      <c r="C42" s="41" t="n">
        <f aca="false">F41</f>
        <v>2429388330</v>
      </c>
      <c r="D42" s="41" t="n">
        <f aca="false">MOD(D41+O42,4294967296)</f>
        <v>3205734837</v>
      </c>
      <c r="E42" s="41" t="n">
        <f aca="false">D41</f>
        <v>2017571321</v>
      </c>
      <c r="F42" s="41" t="n">
        <f aca="false">E41</f>
        <v>893476021</v>
      </c>
      <c r="G42" s="36" t="n">
        <f aca="false">((MOD(INT(MOD(INT((D41)/1),256)/2^0),2)*MOD(INT(MOD(INT((E41)/1),256)/2^0),2)*1+MOD(INT(MOD(INT((D41)/1),256)/2^1),2)*MOD(INT(MOD(INT((E41)/1),256)/2^1),2)*2+MOD(INT(MOD(INT((D41)/1),256)/2^2),2)*MOD(INT(MOD(INT((E41)/1),256)/2^2),2)*4+MOD(INT(MOD(INT((D41)/1),256)/2^3),2)*MOD(INT(MOD(INT((E41)/1),256)/2^3),2)*8+MOD(INT(MOD(INT((D41)/1),256)/2^4),2)*MOD(INT(MOD(INT((E41)/1),256)/2^4),2)*16+MOD(INT(MOD(INT((D41)/1),256)/2^5),2)*MOD(INT(MOD(INT((E41)/1),256)/2^5),2)*32+MOD(INT(MOD(INT((D41)/1),256)/2^6),2)*MOD(INT(MOD(INT((E41)/1),256)/2^6),2)*64+MOD(INT(MOD(INT((D41)/1),256)/2^7),2)*MOD(INT(MOD(INT((E41)/1),256)/2^7),2)*128)*1+(MOD(INT(MOD(INT((D41)/256),256)/2^0),2)*MOD(INT(MOD(INT((E41)/256),256)/2^0),2)*1+MOD(INT(MOD(INT((D41)/256),256)/2^1),2)*MOD(INT(MOD(INT((E41)/256),256)/2^1),2)*2+MOD(INT(MOD(INT((D41)/256),256)/2^2),2)*MOD(INT(MOD(INT((E41)/256),256)/2^2),2)*4+MOD(INT(MOD(INT((D41)/256),256)/2^3),2)*MOD(INT(MOD(INT((E41)/256),256)/2^3),2)*8+MOD(INT(MOD(INT((D41)/256),256)/2^4),2)*MOD(INT(MOD(INT((E41)/256),256)/2^4),2)*16+MOD(INT(MOD(INT((D41)/256),256)/2^5),2)*MOD(INT(MOD(INT((E41)/256),256)/2^5),2)*32+MOD(INT(MOD(INT((D41)/256),256)/2^6),2)*MOD(INT(MOD(INT((E41)/256),256)/2^6),2)*64+MOD(INT(MOD(INT((D41)/256),256)/2^7),2)*MOD(INT(MOD(INT((E41)/256),256)/2^7),2)*128)*256+(MOD(INT(MOD(INT((D41)/65536),256)/2^0),2)*MOD(INT(MOD(INT((E41)/65536),256)/2^0),2)*1+MOD(INT(MOD(INT((D41)/65536),256)/2^1),2)*MOD(INT(MOD(INT((E41)/65536),256)/2^1),2)*2+MOD(INT(MOD(INT((D41)/65536),256)/2^2),2)*MOD(INT(MOD(INT((E41)/65536),256)/2^2),2)*4+MOD(INT(MOD(INT((D41)/65536),256)/2^3),2)*MOD(INT(MOD(INT((E41)/65536),256)/2^3),2)*8+MOD(INT(MOD(INT((D41)/65536),256)/2^4),2)*MOD(INT(MOD(INT((E41)/65536),256)/2^4),2)*16+MOD(INT(MOD(INT((D41)/65536),256)/2^5),2)*MOD(INT(MOD(INT((E41)/65536),256)/2^5),2)*32+MOD(INT(MOD(INT((D41)/65536),256)/2^6),2)*MOD(INT(MOD(INT((E41)/65536),256)/2^6),2)*64+MOD(INT(MOD(INT((D41)/65536),256)/2^7),2)*MOD(INT(MOD(INT((E41)/65536),256)/2^7),2)*128)*65536+(MOD(INT(MOD(INT((D41)/16777216),256)/2^0),2)*MOD(INT(MOD(INT((E41)/16777216),256)/2^0),2)*1+MOD(INT(MOD(INT((D41)/16777216),256)/2^1),2)*MOD(INT(MOD(INT((E41)/16777216),256)/2^1),2)*2+MOD(INT(MOD(INT((D41)/16777216),256)/2^2),2)*MOD(INT(MOD(INT((E41)/16777216),256)/2^2),2)*4+MOD(INT(MOD(INT((D41)/16777216),256)/2^3),2)*MOD(INT(MOD(INT((E41)/16777216),256)/2^3),2)*8+MOD(INT(MOD(INT((D41)/16777216),256)/2^4),2)*MOD(INT(MOD(INT((E41)/16777216),256)/2^4),2)*16+MOD(INT(MOD(INT((D41)/16777216),256)/2^5),2)*MOD(INT(MOD(INT((E41)/16777216),256)/2^5),2)*32+MOD(INT(MOD(INT((D41)/16777216),256)/2^6),2)*MOD(INT(MOD(INT((E41)/16777216),256)/2^6),2)*64+MOD(INT(MOD(INT((D41)/16777216),256)/2^7),2)*MOD(INT(MOD(INT((E41)/16777216),256)/2^7),2)*128)*16777216)</f>
        <v>809570481</v>
      </c>
      <c r="H42" s="36" t="n">
        <f aca="false">MOD(D41+E41-2*G42,4294967296)</f>
        <v>1291906380</v>
      </c>
      <c r="I42" s="36" t="n">
        <f aca="false">((MOD(INT(MOD(INT((H42)/1),256)/2^0),2)*MOD(INT(MOD(INT((F41)/1),256)/2^0),2)*1+MOD(INT(MOD(INT((H42)/1),256)/2^1),2)*MOD(INT(MOD(INT((F41)/1),256)/2^1),2)*2+MOD(INT(MOD(INT((H42)/1),256)/2^2),2)*MOD(INT(MOD(INT((F41)/1),256)/2^2),2)*4+MOD(INT(MOD(INT((H42)/1),256)/2^3),2)*MOD(INT(MOD(INT((F41)/1),256)/2^3),2)*8+MOD(INT(MOD(INT((H42)/1),256)/2^4),2)*MOD(INT(MOD(INT((F41)/1),256)/2^4),2)*16+MOD(INT(MOD(INT((H42)/1),256)/2^5),2)*MOD(INT(MOD(INT((F41)/1),256)/2^5),2)*32+MOD(INT(MOD(INT((H42)/1),256)/2^6),2)*MOD(INT(MOD(INT((F41)/1),256)/2^6),2)*64+MOD(INT(MOD(INT((H42)/1),256)/2^7),2)*MOD(INT(MOD(INT((F41)/1),256)/2^7),2)*128)*1+(MOD(INT(MOD(INT((H42)/256),256)/2^0),2)*MOD(INT(MOD(INT((F41)/256),256)/2^0),2)*1+MOD(INT(MOD(INT((H42)/256),256)/2^1),2)*MOD(INT(MOD(INT((F41)/256),256)/2^1),2)*2+MOD(INT(MOD(INT((H42)/256),256)/2^2),2)*MOD(INT(MOD(INT((F41)/256),256)/2^2),2)*4+MOD(INT(MOD(INT((H42)/256),256)/2^3),2)*MOD(INT(MOD(INT((F41)/256),256)/2^3),2)*8+MOD(INT(MOD(INT((H42)/256),256)/2^4),2)*MOD(INT(MOD(INT((F41)/256),256)/2^4),2)*16+MOD(INT(MOD(INT((H42)/256),256)/2^5),2)*MOD(INT(MOD(INT((F41)/256),256)/2^5),2)*32+MOD(INT(MOD(INT((H42)/256),256)/2^6),2)*MOD(INT(MOD(INT((F41)/256),256)/2^6),2)*64+MOD(INT(MOD(INT((H42)/256),256)/2^7),2)*MOD(INT(MOD(INT((F41)/256),256)/2^7),2)*128)*256+(MOD(INT(MOD(INT((H42)/65536),256)/2^0),2)*MOD(INT(MOD(INT((F41)/65536),256)/2^0),2)*1+MOD(INT(MOD(INT((H42)/65536),256)/2^1),2)*MOD(INT(MOD(INT((F41)/65536),256)/2^1),2)*2+MOD(INT(MOD(INT((H42)/65536),256)/2^2),2)*MOD(INT(MOD(INT((F41)/65536),256)/2^2),2)*4+MOD(INT(MOD(INT((H42)/65536),256)/2^3),2)*MOD(INT(MOD(INT((F41)/65536),256)/2^3),2)*8+MOD(INT(MOD(INT((H42)/65536),256)/2^4),2)*MOD(INT(MOD(INT((F41)/65536),256)/2^4),2)*16+MOD(INT(MOD(INT((H42)/65536),256)/2^5),2)*MOD(INT(MOD(INT((F41)/65536),256)/2^5),2)*32+MOD(INT(MOD(INT((H42)/65536),256)/2^6),2)*MOD(INT(MOD(INT((F41)/65536),256)/2^6),2)*64+MOD(INT(MOD(INT((H42)/65536),256)/2^7),2)*MOD(INT(MOD(INT((F41)/65536),256)/2^7),2)*128)*65536+(MOD(INT(MOD(INT((H42)/16777216),256)/2^0),2)*MOD(INT(MOD(INT((F41)/16777216),256)/2^0),2)*1+MOD(INT(MOD(INT((H42)/16777216),256)/2^1),2)*MOD(INT(MOD(INT((F41)/16777216),256)/2^1),2)*2+MOD(INT(MOD(INT((H42)/16777216),256)/2^2),2)*MOD(INT(MOD(INT((F41)/16777216),256)/2^2),2)*4+MOD(INT(MOD(INT((H42)/16777216),256)/2^3),2)*MOD(INT(MOD(INT((F41)/16777216),256)/2^3),2)*8+MOD(INT(MOD(INT((H42)/16777216),256)/2^4),2)*MOD(INT(MOD(INT((F41)/16777216),256)/2^4),2)*16+MOD(INT(MOD(INT((H42)/16777216),256)/2^5),2)*MOD(INT(MOD(INT((F41)/16777216),256)/2^5),2)*32+MOD(INT(MOD(INT((H42)/16777216),256)/2^6),2)*MOD(INT(MOD(INT((F41)/16777216),256)/2^6),2)*64+MOD(INT(MOD(INT((H42)/16777216),256)/2^7),2)*MOD(INT(MOD(INT((F41)/16777216),256)/2^7),2)*128)*16777216)</f>
        <v>33800</v>
      </c>
      <c r="J42" s="41" t="n">
        <f aca="false">MOD(H42+F41-2*I42,4294967296)</f>
        <v>3721227110</v>
      </c>
      <c r="K42" s="36" t="n">
        <f aca="false">(IF(LEN('🔐 MD5'!B5)&gt;4,CODE(MID('🔐 MD5'!B5,5,1)),IF(LEN('🔐 MD5'!B5)=4,128,0)))+(IF(LEN('🔐 MD5'!B5)&gt;5,CODE(MID('🔐 MD5'!B5,6,1)),IF(LEN('🔐 MD5'!B5)=5,128,0)))*256+(IF(LEN('🔐 MD5'!B5)&gt;6,CODE(MID('🔐 MD5'!B5,7,1)),IF(LEN('🔐 MD5'!B5)=6,128,0)))*65536+(IF(LEN('🔐 MD5'!B5)=7,128,0))*16777216</f>
        <v>32879</v>
      </c>
      <c r="L42" s="36" t="n">
        <f aca="false">'📦 MD5 Constants'!C40</f>
        <v>2763975236</v>
      </c>
      <c r="M42" s="36" t="n">
        <f aca="false">'📦 MD5 Constants'!H40</f>
        <v>4</v>
      </c>
      <c r="N42" s="36" t="n">
        <f aca="false">MOD(C41+J42+K42+'📦 MD5 Constants'!C40,4294967296)</f>
        <v>3295485691</v>
      </c>
      <c r="O42" s="36" t="n">
        <f aca="false">MOD(MOD(N42,2^28)*2^4+INT(N42/2^28),4294967296)</f>
        <v>1188163516</v>
      </c>
      <c r="P42" s="41" t="n">
        <f aca="false">D42</f>
        <v>3205734837</v>
      </c>
      <c r="Q42" s="34" t="s">
        <v>175</v>
      </c>
    </row>
    <row r="43" customFormat="false" ht="13.5" hidden="false" customHeight="true" outlineLevel="0" collapsed="false">
      <c r="B43" s="40" t="n">
        <v>38</v>
      </c>
      <c r="C43" s="41" t="n">
        <f aca="false">F42</f>
        <v>893476021</v>
      </c>
      <c r="D43" s="41" t="n">
        <f aca="false">MOD(D42+O43,4294967296)</f>
        <v>3156871210</v>
      </c>
      <c r="E43" s="41" t="n">
        <f aca="false">D42</f>
        <v>3205734837</v>
      </c>
      <c r="F43" s="41" t="n">
        <f aca="false">E42</f>
        <v>2017571321</v>
      </c>
      <c r="G43" s="36" t="n">
        <f aca="false">((MOD(INT(MOD(INT((D42)/1),256)/2^0),2)*MOD(INT(MOD(INT((E42)/1),256)/2^0),2)*1+MOD(INT(MOD(INT((D42)/1),256)/2^1),2)*MOD(INT(MOD(INT((E42)/1),256)/2^1),2)*2+MOD(INT(MOD(INT((D42)/1),256)/2^2),2)*MOD(INT(MOD(INT((E42)/1),256)/2^2),2)*4+MOD(INT(MOD(INT((D42)/1),256)/2^3),2)*MOD(INT(MOD(INT((E42)/1),256)/2^3),2)*8+MOD(INT(MOD(INT((D42)/1),256)/2^4),2)*MOD(INT(MOD(INT((E42)/1),256)/2^4),2)*16+MOD(INT(MOD(INT((D42)/1),256)/2^5),2)*MOD(INT(MOD(INT((E42)/1),256)/2^5),2)*32+MOD(INT(MOD(INT((D42)/1),256)/2^6),2)*MOD(INT(MOD(INT((E42)/1),256)/2^6),2)*64+MOD(INT(MOD(INT((D42)/1),256)/2^7),2)*MOD(INT(MOD(INT((E42)/1),256)/2^7),2)*128)*1+(MOD(INT(MOD(INT((D42)/256),256)/2^0),2)*MOD(INT(MOD(INT((E42)/256),256)/2^0),2)*1+MOD(INT(MOD(INT((D42)/256),256)/2^1),2)*MOD(INT(MOD(INT((E42)/256),256)/2^1),2)*2+MOD(INT(MOD(INT((D42)/256),256)/2^2),2)*MOD(INT(MOD(INT((E42)/256),256)/2^2),2)*4+MOD(INT(MOD(INT((D42)/256),256)/2^3),2)*MOD(INT(MOD(INT((E42)/256),256)/2^3),2)*8+MOD(INT(MOD(INT((D42)/256),256)/2^4),2)*MOD(INT(MOD(INT((E42)/256),256)/2^4),2)*16+MOD(INT(MOD(INT((D42)/256),256)/2^5),2)*MOD(INT(MOD(INT((E42)/256),256)/2^5),2)*32+MOD(INT(MOD(INT((D42)/256),256)/2^6),2)*MOD(INT(MOD(INT((E42)/256),256)/2^6),2)*64+MOD(INT(MOD(INT((D42)/256),256)/2^7),2)*MOD(INT(MOD(INT((E42)/256),256)/2^7),2)*128)*256+(MOD(INT(MOD(INT((D42)/65536),256)/2^0),2)*MOD(INT(MOD(INT((E42)/65536),256)/2^0),2)*1+MOD(INT(MOD(INT((D42)/65536),256)/2^1),2)*MOD(INT(MOD(INT((E42)/65536),256)/2^1),2)*2+MOD(INT(MOD(INT((D42)/65536),256)/2^2),2)*MOD(INT(MOD(INT((E42)/65536),256)/2^2),2)*4+MOD(INT(MOD(INT((D42)/65536),256)/2^3),2)*MOD(INT(MOD(INT((E42)/65536),256)/2^3),2)*8+MOD(INT(MOD(INT((D42)/65536),256)/2^4),2)*MOD(INT(MOD(INT((E42)/65536),256)/2^4),2)*16+MOD(INT(MOD(INT((D42)/65536),256)/2^5),2)*MOD(INT(MOD(INT((E42)/65536),256)/2^5),2)*32+MOD(INT(MOD(INT((D42)/65536),256)/2^6),2)*MOD(INT(MOD(INT((E42)/65536),256)/2^6),2)*64+MOD(INT(MOD(INT((D42)/65536),256)/2^7),2)*MOD(INT(MOD(INT((E42)/65536),256)/2^7),2)*128)*65536+(MOD(INT(MOD(INT((D42)/16777216),256)/2^0),2)*MOD(INT(MOD(INT((E42)/16777216),256)/2^0),2)*1+MOD(INT(MOD(INT((D42)/16777216),256)/2^1),2)*MOD(INT(MOD(INT((E42)/16777216),256)/2^1),2)*2+MOD(INT(MOD(INT((D42)/16777216),256)/2^2),2)*MOD(INT(MOD(INT((E42)/16777216),256)/2^2),2)*4+MOD(INT(MOD(INT((D42)/16777216),256)/2^3),2)*MOD(INT(MOD(INT((E42)/16777216),256)/2^3),2)*8+MOD(INT(MOD(INT((D42)/16777216),256)/2^4),2)*MOD(INT(MOD(INT((E42)/16777216),256)/2^4),2)*16+MOD(INT(MOD(INT((D42)/16777216),256)/2^5),2)*MOD(INT(MOD(INT((E42)/16777216),256)/2^5),2)*32+MOD(INT(MOD(INT((D42)/16777216),256)/2^6),2)*MOD(INT(MOD(INT((E42)/16777216),256)/2^6),2)*64+MOD(INT(MOD(INT((D42)/16777216),256)/2^7),2)*MOD(INT(MOD(INT((E42)/16777216),256)/2^7),2)*128)*16777216)</f>
        <v>939631025</v>
      </c>
      <c r="H43" s="36" t="n">
        <f aca="false">MOD(D42+E42-2*G43,4294967296)</f>
        <v>3344044108</v>
      </c>
      <c r="I43" s="36" t="n">
        <f aca="false">((MOD(INT(MOD(INT((H43)/1),256)/2^0),2)*MOD(INT(MOD(INT((F42)/1),256)/2^0),2)*1+MOD(INT(MOD(INT((H43)/1),256)/2^1),2)*MOD(INT(MOD(INT((F42)/1),256)/2^1),2)*2+MOD(INT(MOD(INT((H43)/1),256)/2^2),2)*MOD(INT(MOD(INT((F42)/1),256)/2^2),2)*4+MOD(INT(MOD(INT((H43)/1),256)/2^3),2)*MOD(INT(MOD(INT((F42)/1),256)/2^3),2)*8+MOD(INT(MOD(INT((H43)/1),256)/2^4),2)*MOD(INT(MOD(INT((F42)/1),256)/2^4),2)*16+MOD(INT(MOD(INT((H43)/1),256)/2^5),2)*MOD(INT(MOD(INT((F42)/1),256)/2^5),2)*32+MOD(INT(MOD(INT((H43)/1),256)/2^6),2)*MOD(INT(MOD(INT((F42)/1),256)/2^6),2)*64+MOD(INT(MOD(INT((H43)/1),256)/2^7),2)*MOD(INT(MOD(INT((F42)/1),256)/2^7),2)*128)*1+(MOD(INT(MOD(INT((H43)/256),256)/2^0),2)*MOD(INT(MOD(INT((F42)/256),256)/2^0),2)*1+MOD(INT(MOD(INT((H43)/256),256)/2^1),2)*MOD(INT(MOD(INT((F42)/256),256)/2^1),2)*2+MOD(INT(MOD(INT((H43)/256),256)/2^2),2)*MOD(INT(MOD(INT((F42)/256),256)/2^2),2)*4+MOD(INT(MOD(INT((H43)/256),256)/2^3),2)*MOD(INT(MOD(INT((F42)/256),256)/2^3),2)*8+MOD(INT(MOD(INT((H43)/256),256)/2^4),2)*MOD(INT(MOD(INT((F42)/256),256)/2^4),2)*16+MOD(INT(MOD(INT((H43)/256),256)/2^5),2)*MOD(INT(MOD(INT((F42)/256),256)/2^5),2)*32+MOD(INT(MOD(INT((H43)/256),256)/2^6),2)*MOD(INT(MOD(INT((F42)/256),256)/2^6),2)*64+MOD(INT(MOD(INT((H43)/256),256)/2^7),2)*MOD(INT(MOD(INT((F42)/256),256)/2^7),2)*128)*256+(MOD(INT(MOD(INT((H43)/65536),256)/2^0),2)*MOD(INT(MOD(INT((F42)/65536),256)/2^0),2)*1+MOD(INT(MOD(INT((H43)/65536),256)/2^1),2)*MOD(INT(MOD(INT((F42)/65536),256)/2^1),2)*2+MOD(INT(MOD(INT((H43)/65536),256)/2^2),2)*MOD(INT(MOD(INT((F42)/65536),256)/2^2),2)*4+MOD(INT(MOD(INT((H43)/65536),256)/2^3),2)*MOD(INT(MOD(INT((F42)/65536),256)/2^3),2)*8+MOD(INT(MOD(INT((H43)/65536),256)/2^4),2)*MOD(INT(MOD(INT((F42)/65536),256)/2^4),2)*16+MOD(INT(MOD(INT((H43)/65536),256)/2^5),2)*MOD(INT(MOD(INT((F42)/65536),256)/2^5),2)*32+MOD(INT(MOD(INT((H43)/65536),256)/2^6),2)*MOD(INT(MOD(INT((F42)/65536),256)/2^6),2)*64+MOD(INT(MOD(INT((H43)/65536),256)/2^7),2)*MOD(INT(MOD(INT((F42)/65536),256)/2^7),2)*128)*65536+(MOD(INT(MOD(INT((H43)/16777216),256)/2^0),2)*MOD(INT(MOD(INT((F42)/16777216),256)/2^0),2)*1+MOD(INT(MOD(INT((H43)/16777216),256)/2^1),2)*MOD(INT(MOD(INT((F42)/16777216),256)/2^1),2)*2+MOD(INT(MOD(INT((H43)/16777216),256)/2^2),2)*MOD(INT(MOD(INT((F42)/16777216),256)/2^2),2)*4+MOD(INT(MOD(INT((H43)/16777216),256)/2^3),2)*MOD(INT(MOD(INT((F42)/16777216),256)/2^3),2)*8+MOD(INT(MOD(INT((H43)/16777216),256)/2^4),2)*MOD(INT(MOD(INT((F42)/16777216),256)/2^4),2)*16+MOD(INT(MOD(INT((H43)/16777216),256)/2^5),2)*MOD(INT(MOD(INT((F42)/16777216),256)/2^5),2)*32+MOD(INT(MOD(INT((H43)/16777216),256)/2^6),2)*MOD(INT(MOD(INT((F42)/16777216),256)/2^6),2)*64+MOD(INT(MOD(INT((H43)/16777216),256)/2^7),2)*MOD(INT(MOD(INT((F42)/16777216),256)/2^7),2)*128)*16777216)</f>
        <v>88084484</v>
      </c>
      <c r="J43" s="41" t="n">
        <f aca="false">MOD(H43+F42-2*I43,4294967296)</f>
        <v>4061351161</v>
      </c>
      <c r="K43" s="36" t="n">
        <f aca="false">(0)+(0)*256+(0)*65536+(0)*16777216</f>
        <v>0</v>
      </c>
      <c r="L43" s="36" t="n">
        <f aca="false">'📦 MD5 Constants'!C41</f>
        <v>1272893353</v>
      </c>
      <c r="M43" s="36" t="n">
        <f aca="false">'📦 MD5 Constants'!H41</f>
        <v>11</v>
      </c>
      <c r="N43" s="36" t="n">
        <f aca="false">MOD(C42+J43+K43+'📦 MD5 Constants'!C41,4294967296)</f>
        <v>3468665548</v>
      </c>
      <c r="O43" s="36" t="n">
        <f aca="false">MOD(MOD(N43,2^21)*2^11+INT(N43/2^21),4294967296)</f>
        <v>4246103669</v>
      </c>
      <c r="P43" s="41" t="n">
        <f aca="false">D43</f>
        <v>3156871210</v>
      </c>
      <c r="Q43" s="34" t="s">
        <v>176</v>
      </c>
    </row>
    <row r="44" customFormat="false" ht="13.5" hidden="false" customHeight="true" outlineLevel="0" collapsed="false">
      <c r="B44" s="40" t="n">
        <v>39</v>
      </c>
      <c r="C44" s="41" t="n">
        <f aca="false">F43</f>
        <v>2017571321</v>
      </c>
      <c r="D44" s="41" t="n">
        <f aca="false">MOD(D43+O44,4294967296)</f>
        <v>2091233182</v>
      </c>
      <c r="E44" s="41" t="n">
        <f aca="false">D43</f>
        <v>3156871210</v>
      </c>
      <c r="F44" s="41" t="n">
        <f aca="false">E43</f>
        <v>3205734837</v>
      </c>
      <c r="G44" s="36" t="n">
        <f aca="false">((MOD(INT(MOD(INT((D43)/1),256)/2^0),2)*MOD(INT(MOD(INT((E43)/1),256)/2^0),2)*1+MOD(INT(MOD(INT((D43)/1),256)/2^1),2)*MOD(INT(MOD(INT((E43)/1),256)/2^1),2)*2+MOD(INT(MOD(INT((D43)/1),256)/2^2),2)*MOD(INT(MOD(INT((E43)/1),256)/2^2),2)*4+MOD(INT(MOD(INT((D43)/1),256)/2^3),2)*MOD(INT(MOD(INT((E43)/1),256)/2^3),2)*8+MOD(INT(MOD(INT((D43)/1),256)/2^4),2)*MOD(INT(MOD(INT((E43)/1),256)/2^4),2)*16+MOD(INT(MOD(INT((D43)/1),256)/2^5),2)*MOD(INT(MOD(INT((E43)/1),256)/2^5),2)*32+MOD(INT(MOD(INT((D43)/1),256)/2^6),2)*MOD(INT(MOD(INT((E43)/1),256)/2^6),2)*64+MOD(INT(MOD(INT((D43)/1),256)/2^7),2)*MOD(INT(MOD(INT((E43)/1),256)/2^7),2)*128)*1+(MOD(INT(MOD(INT((D43)/256),256)/2^0),2)*MOD(INT(MOD(INT((E43)/256),256)/2^0),2)*1+MOD(INT(MOD(INT((D43)/256),256)/2^1),2)*MOD(INT(MOD(INT((E43)/256),256)/2^1),2)*2+MOD(INT(MOD(INT((D43)/256),256)/2^2),2)*MOD(INT(MOD(INT((E43)/256),256)/2^2),2)*4+MOD(INT(MOD(INT((D43)/256),256)/2^3),2)*MOD(INT(MOD(INT((E43)/256),256)/2^3),2)*8+MOD(INT(MOD(INT((D43)/256),256)/2^4),2)*MOD(INT(MOD(INT((E43)/256),256)/2^4),2)*16+MOD(INT(MOD(INT((D43)/256),256)/2^5),2)*MOD(INT(MOD(INT((E43)/256),256)/2^5),2)*32+MOD(INT(MOD(INT((D43)/256),256)/2^6),2)*MOD(INT(MOD(INT((E43)/256),256)/2^6),2)*64+MOD(INT(MOD(INT((D43)/256),256)/2^7),2)*MOD(INT(MOD(INT((E43)/256),256)/2^7),2)*128)*256+(MOD(INT(MOD(INT((D43)/65536),256)/2^0),2)*MOD(INT(MOD(INT((E43)/65536),256)/2^0),2)*1+MOD(INT(MOD(INT((D43)/65536),256)/2^1),2)*MOD(INT(MOD(INT((E43)/65536),256)/2^1),2)*2+MOD(INT(MOD(INT((D43)/65536),256)/2^2),2)*MOD(INT(MOD(INT((E43)/65536),256)/2^2),2)*4+MOD(INT(MOD(INT((D43)/65536),256)/2^3),2)*MOD(INT(MOD(INT((E43)/65536),256)/2^3),2)*8+MOD(INT(MOD(INT((D43)/65536),256)/2^4),2)*MOD(INT(MOD(INT((E43)/65536),256)/2^4),2)*16+MOD(INT(MOD(INT((D43)/65536),256)/2^5),2)*MOD(INT(MOD(INT((E43)/65536),256)/2^5),2)*32+MOD(INT(MOD(INT((D43)/65536),256)/2^6),2)*MOD(INT(MOD(INT((E43)/65536),256)/2^6),2)*64+MOD(INT(MOD(INT((D43)/65536),256)/2^7),2)*MOD(INT(MOD(INT((E43)/65536),256)/2^7),2)*128)*65536+(MOD(INT(MOD(INT((D43)/16777216),256)/2^0),2)*MOD(INT(MOD(INT((E43)/16777216),256)/2^0),2)*1+MOD(INT(MOD(INT((D43)/16777216),256)/2^1),2)*MOD(INT(MOD(INT((E43)/16777216),256)/2^1),2)*2+MOD(INT(MOD(INT((D43)/16777216),256)/2^2),2)*MOD(INT(MOD(INT((E43)/16777216),256)/2^2),2)*4+MOD(INT(MOD(INT((D43)/16777216),256)/2^3),2)*MOD(INT(MOD(INT((E43)/16777216),256)/2^3),2)*8+MOD(INT(MOD(INT((D43)/16777216),256)/2^4),2)*MOD(INT(MOD(INT((E43)/16777216),256)/2^4),2)*16+MOD(INT(MOD(INT((D43)/16777216),256)/2^5),2)*MOD(INT(MOD(INT((E43)/16777216),256)/2^5),2)*32+MOD(INT(MOD(INT((D43)/16777216),256)/2^6),2)*MOD(INT(MOD(INT((E43)/16777216),256)/2^6),2)*64+MOD(INT(MOD(INT((D43)/16777216),256)/2^7),2)*MOD(INT(MOD(INT((E43)/16777216),256)/2^7),2)*128)*16777216)</f>
        <v>3154247712</v>
      </c>
      <c r="H44" s="36" t="n">
        <f aca="false">MOD(D43+E43-2*G44,4294967296)</f>
        <v>54110623</v>
      </c>
      <c r="I44" s="36" t="n">
        <f aca="false">((MOD(INT(MOD(INT((H44)/1),256)/2^0),2)*MOD(INT(MOD(INT((F43)/1),256)/2^0),2)*1+MOD(INT(MOD(INT((H44)/1),256)/2^1),2)*MOD(INT(MOD(INT((F43)/1),256)/2^1),2)*2+MOD(INT(MOD(INT((H44)/1),256)/2^2),2)*MOD(INT(MOD(INT((F43)/1),256)/2^2),2)*4+MOD(INT(MOD(INT((H44)/1),256)/2^3),2)*MOD(INT(MOD(INT((F43)/1),256)/2^3),2)*8+MOD(INT(MOD(INT((H44)/1),256)/2^4),2)*MOD(INT(MOD(INT((F43)/1),256)/2^4),2)*16+MOD(INT(MOD(INT((H44)/1),256)/2^5),2)*MOD(INT(MOD(INT((F43)/1),256)/2^5),2)*32+MOD(INT(MOD(INT((H44)/1),256)/2^6),2)*MOD(INT(MOD(INT((F43)/1),256)/2^6),2)*64+MOD(INT(MOD(INT((H44)/1),256)/2^7),2)*MOD(INT(MOD(INT((F43)/1),256)/2^7),2)*128)*1+(MOD(INT(MOD(INT((H44)/256),256)/2^0),2)*MOD(INT(MOD(INT((F43)/256),256)/2^0),2)*1+MOD(INT(MOD(INT((H44)/256),256)/2^1),2)*MOD(INT(MOD(INT((F43)/256),256)/2^1),2)*2+MOD(INT(MOD(INT((H44)/256),256)/2^2),2)*MOD(INT(MOD(INT((F43)/256),256)/2^2),2)*4+MOD(INT(MOD(INT((H44)/256),256)/2^3),2)*MOD(INT(MOD(INT((F43)/256),256)/2^3),2)*8+MOD(INT(MOD(INT((H44)/256),256)/2^4),2)*MOD(INT(MOD(INT((F43)/256),256)/2^4),2)*16+MOD(INT(MOD(INT((H44)/256),256)/2^5),2)*MOD(INT(MOD(INT((F43)/256),256)/2^5),2)*32+MOD(INT(MOD(INT((H44)/256),256)/2^6),2)*MOD(INT(MOD(INT((F43)/256),256)/2^6),2)*64+MOD(INT(MOD(INT((H44)/256),256)/2^7),2)*MOD(INT(MOD(INT((F43)/256),256)/2^7),2)*128)*256+(MOD(INT(MOD(INT((H44)/65536),256)/2^0),2)*MOD(INT(MOD(INT((F43)/65536),256)/2^0),2)*1+MOD(INT(MOD(INT((H44)/65536),256)/2^1),2)*MOD(INT(MOD(INT((F43)/65536),256)/2^1),2)*2+MOD(INT(MOD(INT((H44)/65536),256)/2^2),2)*MOD(INT(MOD(INT((F43)/65536),256)/2^2),2)*4+MOD(INT(MOD(INT((H44)/65536),256)/2^3),2)*MOD(INT(MOD(INT((F43)/65536),256)/2^3),2)*8+MOD(INT(MOD(INT((H44)/65536),256)/2^4),2)*MOD(INT(MOD(INT((F43)/65536),256)/2^4),2)*16+MOD(INT(MOD(INT((H44)/65536),256)/2^5),2)*MOD(INT(MOD(INT((F43)/65536),256)/2^5),2)*32+MOD(INT(MOD(INT((H44)/65536),256)/2^6),2)*MOD(INT(MOD(INT((F43)/65536),256)/2^6),2)*64+MOD(INT(MOD(INT((H44)/65536),256)/2^7),2)*MOD(INT(MOD(INT((F43)/65536),256)/2^7),2)*128)*65536+(MOD(INT(MOD(INT((H44)/16777216),256)/2^0),2)*MOD(INT(MOD(INT((F43)/16777216),256)/2^0),2)*1+MOD(INT(MOD(INT((H44)/16777216),256)/2^1),2)*MOD(INT(MOD(INT((F43)/16777216),256)/2^1),2)*2+MOD(INT(MOD(INT((H44)/16777216),256)/2^2),2)*MOD(INT(MOD(INT((F43)/16777216),256)/2^2),2)*4+MOD(INT(MOD(INT((H44)/16777216),256)/2^3),2)*MOD(INT(MOD(INT((F43)/16777216),256)/2^3),2)*8+MOD(INT(MOD(INT((H44)/16777216),256)/2^4),2)*MOD(INT(MOD(INT((F43)/16777216),256)/2^4),2)*16+MOD(INT(MOD(INT((H44)/16777216),256)/2^5),2)*MOD(INT(MOD(INT((F43)/16777216),256)/2^5),2)*32+MOD(INT(MOD(INT((H44)/16777216),256)/2^6),2)*MOD(INT(MOD(INT((F43)/16777216),256)/2^6),2)*64+MOD(INT(MOD(INT((H44)/16777216),256)/2^7),2)*MOD(INT(MOD(INT((F43)/16777216),256)/2^7),2)*128)*16777216)</f>
        <v>106905</v>
      </c>
      <c r="J44" s="41" t="n">
        <f aca="false">MOD(H44+F43-2*I44,4294967296)</f>
        <v>2071468134</v>
      </c>
      <c r="K44" s="36" t="n">
        <f aca="false">(0)+(0)*256+(0)*65536+(0)*16777216</f>
        <v>0</v>
      </c>
      <c r="L44" s="36" t="n">
        <f aca="false">'📦 MD5 Constants'!C42</f>
        <v>4139469664</v>
      </c>
      <c r="M44" s="36" t="n">
        <f aca="false">'📦 MD5 Constants'!H42</f>
        <v>16</v>
      </c>
      <c r="N44" s="36" t="n">
        <f aca="false">MOD(C43+J44+K44+'📦 MD5 Constants'!C42,4294967296)</f>
        <v>2809446523</v>
      </c>
      <c r="O44" s="36" t="n">
        <f aca="false">MOD(MOD(N44,2^16)*2^16+INT(N44/2^16),4294967296)</f>
        <v>3229329268</v>
      </c>
      <c r="P44" s="41" t="n">
        <f aca="false">D44</f>
        <v>2091233182</v>
      </c>
      <c r="Q44" s="34" t="s">
        <v>177</v>
      </c>
    </row>
    <row r="45" customFormat="false" ht="13.5" hidden="false" customHeight="true" outlineLevel="0" collapsed="false">
      <c r="B45" s="40" t="n">
        <v>40</v>
      </c>
      <c r="C45" s="41" t="n">
        <f aca="false">F44</f>
        <v>3205734837</v>
      </c>
      <c r="D45" s="41" t="n">
        <f aca="false">MOD(D44+O45,4294967296)</f>
        <v>2986409560</v>
      </c>
      <c r="E45" s="41" t="n">
        <f aca="false">D44</f>
        <v>2091233182</v>
      </c>
      <c r="F45" s="41" t="n">
        <f aca="false">E44</f>
        <v>3156871210</v>
      </c>
      <c r="G45" s="36" t="n">
        <f aca="false">((MOD(INT(MOD(INT((D44)/1),256)/2^0),2)*MOD(INT(MOD(INT((E44)/1),256)/2^0),2)*1+MOD(INT(MOD(INT((D44)/1),256)/2^1),2)*MOD(INT(MOD(INT((E44)/1),256)/2^1),2)*2+MOD(INT(MOD(INT((D44)/1),256)/2^2),2)*MOD(INT(MOD(INT((E44)/1),256)/2^2),2)*4+MOD(INT(MOD(INT((D44)/1),256)/2^3),2)*MOD(INT(MOD(INT((E44)/1),256)/2^3),2)*8+MOD(INT(MOD(INT((D44)/1),256)/2^4),2)*MOD(INT(MOD(INT((E44)/1),256)/2^4),2)*16+MOD(INT(MOD(INT((D44)/1),256)/2^5),2)*MOD(INT(MOD(INT((E44)/1),256)/2^5),2)*32+MOD(INT(MOD(INT((D44)/1),256)/2^6),2)*MOD(INT(MOD(INT((E44)/1),256)/2^6),2)*64+MOD(INT(MOD(INT((D44)/1),256)/2^7),2)*MOD(INT(MOD(INT((E44)/1),256)/2^7),2)*128)*1+(MOD(INT(MOD(INT((D44)/256),256)/2^0),2)*MOD(INT(MOD(INT((E44)/256),256)/2^0),2)*1+MOD(INT(MOD(INT((D44)/256),256)/2^1),2)*MOD(INT(MOD(INT((E44)/256),256)/2^1),2)*2+MOD(INT(MOD(INT((D44)/256),256)/2^2),2)*MOD(INT(MOD(INT((E44)/256),256)/2^2),2)*4+MOD(INT(MOD(INT((D44)/256),256)/2^3),2)*MOD(INT(MOD(INT((E44)/256),256)/2^3),2)*8+MOD(INT(MOD(INT((D44)/256),256)/2^4),2)*MOD(INT(MOD(INT((E44)/256),256)/2^4),2)*16+MOD(INT(MOD(INT((D44)/256),256)/2^5),2)*MOD(INT(MOD(INT((E44)/256),256)/2^5),2)*32+MOD(INT(MOD(INT((D44)/256),256)/2^6),2)*MOD(INT(MOD(INT((E44)/256),256)/2^6),2)*64+MOD(INT(MOD(INT((D44)/256),256)/2^7),2)*MOD(INT(MOD(INT((E44)/256),256)/2^7),2)*128)*256+(MOD(INT(MOD(INT((D44)/65536),256)/2^0),2)*MOD(INT(MOD(INT((E44)/65536),256)/2^0),2)*1+MOD(INT(MOD(INT((D44)/65536),256)/2^1),2)*MOD(INT(MOD(INT((E44)/65536),256)/2^1),2)*2+MOD(INT(MOD(INT((D44)/65536),256)/2^2),2)*MOD(INT(MOD(INT((E44)/65536),256)/2^2),2)*4+MOD(INT(MOD(INT((D44)/65536),256)/2^3),2)*MOD(INT(MOD(INT((E44)/65536),256)/2^3),2)*8+MOD(INT(MOD(INT((D44)/65536),256)/2^4),2)*MOD(INT(MOD(INT((E44)/65536),256)/2^4),2)*16+MOD(INT(MOD(INT((D44)/65536),256)/2^5),2)*MOD(INT(MOD(INT((E44)/65536),256)/2^5),2)*32+MOD(INT(MOD(INT((D44)/65536),256)/2^6),2)*MOD(INT(MOD(INT((E44)/65536),256)/2^6),2)*64+MOD(INT(MOD(INT((D44)/65536),256)/2^7),2)*MOD(INT(MOD(INT((E44)/65536),256)/2^7),2)*128)*65536+(MOD(INT(MOD(INT((D44)/16777216),256)/2^0),2)*MOD(INT(MOD(INT((E44)/16777216),256)/2^0),2)*1+MOD(INT(MOD(INT((D44)/16777216),256)/2^1),2)*MOD(INT(MOD(INT((E44)/16777216),256)/2^1),2)*2+MOD(INT(MOD(INT((D44)/16777216),256)/2^2),2)*MOD(INT(MOD(INT((E44)/16777216),256)/2^2),2)*4+MOD(INT(MOD(INT((D44)/16777216),256)/2^3),2)*MOD(INT(MOD(INT((E44)/16777216),256)/2^3),2)*8+MOD(INT(MOD(INT((D44)/16777216),256)/2^4),2)*MOD(INT(MOD(INT((E44)/16777216),256)/2^4),2)*16+MOD(INT(MOD(INT((D44)/16777216),256)/2^5),2)*MOD(INT(MOD(INT((E44)/16777216),256)/2^5),2)*32+MOD(INT(MOD(INT((D44)/16777216),256)/2^6),2)*MOD(INT(MOD(INT((E44)/16777216),256)/2^6),2)*64+MOD(INT(MOD(INT((D44)/16777216),256)/2^7),2)*MOD(INT(MOD(INT((E44)/16777216),256)/2^7),2)*128)*16777216)</f>
        <v>1008732170</v>
      </c>
      <c r="H45" s="36" t="n">
        <f aca="false">MOD(D44+E44-2*G45,4294967296)</f>
        <v>3230640052</v>
      </c>
      <c r="I45" s="36" t="n">
        <f aca="false">((MOD(INT(MOD(INT((H45)/1),256)/2^0),2)*MOD(INT(MOD(INT((F44)/1),256)/2^0),2)*1+MOD(INT(MOD(INT((H45)/1),256)/2^1),2)*MOD(INT(MOD(INT((F44)/1),256)/2^1),2)*2+MOD(INT(MOD(INT((H45)/1),256)/2^2),2)*MOD(INT(MOD(INT((F44)/1),256)/2^2),2)*4+MOD(INT(MOD(INT((H45)/1),256)/2^3),2)*MOD(INT(MOD(INT((F44)/1),256)/2^3),2)*8+MOD(INT(MOD(INT((H45)/1),256)/2^4),2)*MOD(INT(MOD(INT((F44)/1),256)/2^4),2)*16+MOD(INT(MOD(INT((H45)/1),256)/2^5),2)*MOD(INT(MOD(INT((F44)/1),256)/2^5),2)*32+MOD(INT(MOD(INT((H45)/1),256)/2^6),2)*MOD(INT(MOD(INT((F44)/1),256)/2^6),2)*64+MOD(INT(MOD(INT((H45)/1),256)/2^7),2)*MOD(INT(MOD(INT((F44)/1),256)/2^7),2)*128)*1+(MOD(INT(MOD(INT((H45)/256),256)/2^0),2)*MOD(INT(MOD(INT((F44)/256),256)/2^0),2)*1+MOD(INT(MOD(INT((H45)/256),256)/2^1),2)*MOD(INT(MOD(INT((F44)/256),256)/2^1),2)*2+MOD(INT(MOD(INT((H45)/256),256)/2^2),2)*MOD(INT(MOD(INT((F44)/256),256)/2^2),2)*4+MOD(INT(MOD(INT((H45)/256),256)/2^3),2)*MOD(INT(MOD(INT((F44)/256),256)/2^3),2)*8+MOD(INT(MOD(INT((H45)/256),256)/2^4),2)*MOD(INT(MOD(INT((F44)/256),256)/2^4),2)*16+MOD(INT(MOD(INT((H45)/256),256)/2^5),2)*MOD(INT(MOD(INT((F44)/256),256)/2^5),2)*32+MOD(INT(MOD(INT((H45)/256),256)/2^6),2)*MOD(INT(MOD(INT((F44)/256),256)/2^6),2)*64+MOD(INT(MOD(INT((H45)/256),256)/2^7),2)*MOD(INT(MOD(INT((F44)/256),256)/2^7),2)*128)*256+(MOD(INT(MOD(INT((H45)/65536),256)/2^0),2)*MOD(INT(MOD(INT((F44)/65536),256)/2^0),2)*1+MOD(INT(MOD(INT((H45)/65536),256)/2^1),2)*MOD(INT(MOD(INT((F44)/65536),256)/2^1),2)*2+MOD(INT(MOD(INT((H45)/65536),256)/2^2),2)*MOD(INT(MOD(INT((F44)/65536),256)/2^2),2)*4+MOD(INT(MOD(INT((H45)/65536),256)/2^3),2)*MOD(INT(MOD(INT((F44)/65536),256)/2^3),2)*8+MOD(INT(MOD(INT((H45)/65536),256)/2^4),2)*MOD(INT(MOD(INT((F44)/65536),256)/2^4),2)*16+MOD(INT(MOD(INT((H45)/65536),256)/2^5),2)*MOD(INT(MOD(INT((F44)/65536),256)/2^5),2)*32+MOD(INT(MOD(INT((H45)/65536),256)/2^6),2)*MOD(INT(MOD(INT((F44)/65536),256)/2^6),2)*64+MOD(INT(MOD(INT((H45)/65536),256)/2^7),2)*MOD(INT(MOD(INT((F44)/65536),256)/2^7),2)*128)*65536+(MOD(INT(MOD(INT((H45)/16777216),256)/2^0),2)*MOD(INT(MOD(INT((F44)/16777216),256)/2^0),2)*1+MOD(INT(MOD(INT((H45)/16777216),256)/2^1),2)*MOD(INT(MOD(INT((F44)/16777216),256)/2^1),2)*2+MOD(INT(MOD(INT((H45)/16777216),256)/2^2),2)*MOD(INT(MOD(INT((F44)/16777216),256)/2^2),2)*4+MOD(INT(MOD(INT((H45)/16777216),256)/2^3),2)*MOD(INT(MOD(INT((F44)/16777216),256)/2^3),2)*8+MOD(INT(MOD(INT((H45)/16777216),256)/2^4),2)*MOD(INT(MOD(INT((F44)/16777216),256)/2^4),2)*16+MOD(INT(MOD(INT((H45)/16777216),256)/2^5),2)*MOD(INT(MOD(INT((F44)/16777216),256)/2^5),2)*32+MOD(INT(MOD(INT((H45)/16777216),256)/2^6),2)*MOD(INT(MOD(INT((F44)/16777216),256)/2^6),2)*64+MOD(INT(MOD(INT((H45)/16777216),256)/2^7),2)*MOD(INT(MOD(INT((F44)/16777216),256)/2^7),2)*128)*16777216)</f>
        <v>2147721652</v>
      </c>
      <c r="J45" s="41" t="n">
        <f aca="false">MOD(H45+F44-2*I45,4294967296)</f>
        <v>2140931585</v>
      </c>
      <c r="K45" s="36" t="n">
        <f aca="false">(0)+(0)*256+(0)*65536+(0)*16777216</f>
        <v>0</v>
      </c>
      <c r="L45" s="36" t="n">
        <f aca="false">'📦 MD5 Constants'!C43</f>
        <v>3200236656</v>
      </c>
      <c r="M45" s="36" t="n">
        <f aca="false">'📦 MD5 Constants'!H43</f>
        <v>23</v>
      </c>
      <c r="N45" s="36" t="n">
        <f aca="false">MOD(C44+J45+K45+'📦 MD5 Constants'!C43,4294967296)</f>
        <v>3063772266</v>
      </c>
      <c r="O45" s="36" t="n">
        <f aca="false">MOD(MOD(N45,2^9)*2^23+INT(N45/2^9),4294967296)</f>
        <v>895176378</v>
      </c>
      <c r="P45" s="41" t="n">
        <f aca="false">D45</f>
        <v>2986409560</v>
      </c>
      <c r="Q45" s="34" t="s">
        <v>178</v>
      </c>
    </row>
    <row r="46" customFormat="false" ht="13.5" hidden="false" customHeight="true" outlineLevel="0" collapsed="false">
      <c r="B46" s="40" t="n">
        <v>41</v>
      </c>
      <c r="C46" s="41" t="n">
        <f aca="false">F45</f>
        <v>3156871210</v>
      </c>
      <c r="D46" s="41" t="n">
        <f aca="false">MOD(D45+O46,4294967296)</f>
        <v>1441309901</v>
      </c>
      <c r="E46" s="41" t="n">
        <f aca="false">D45</f>
        <v>2986409560</v>
      </c>
      <c r="F46" s="41" t="n">
        <f aca="false">E45</f>
        <v>2091233182</v>
      </c>
      <c r="G46" s="36" t="n">
        <f aca="false">((MOD(INT(MOD(INT((D45)/1),256)/2^0),2)*MOD(INT(MOD(INT((E45)/1),256)/2^0),2)*1+MOD(INT(MOD(INT((D45)/1),256)/2^1),2)*MOD(INT(MOD(INT((E45)/1),256)/2^1),2)*2+MOD(INT(MOD(INT((D45)/1),256)/2^2),2)*MOD(INT(MOD(INT((E45)/1),256)/2^2),2)*4+MOD(INT(MOD(INT((D45)/1),256)/2^3),2)*MOD(INT(MOD(INT((E45)/1),256)/2^3),2)*8+MOD(INT(MOD(INT((D45)/1),256)/2^4),2)*MOD(INT(MOD(INT((E45)/1),256)/2^4),2)*16+MOD(INT(MOD(INT((D45)/1),256)/2^5),2)*MOD(INT(MOD(INT((E45)/1),256)/2^5),2)*32+MOD(INT(MOD(INT((D45)/1),256)/2^6),2)*MOD(INT(MOD(INT((E45)/1),256)/2^6),2)*64+MOD(INT(MOD(INT((D45)/1),256)/2^7),2)*MOD(INT(MOD(INT((E45)/1),256)/2^7),2)*128)*1+(MOD(INT(MOD(INT((D45)/256),256)/2^0),2)*MOD(INT(MOD(INT((E45)/256),256)/2^0),2)*1+MOD(INT(MOD(INT((D45)/256),256)/2^1),2)*MOD(INT(MOD(INT((E45)/256),256)/2^1),2)*2+MOD(INT(MOD(INT((D45)/256),256)/2^2),2)*MOD(INT(MOD(INT((E45)/256),256)/2^2),2)*4+MOD(INT(MOD(INT((D45)/256),256)/2^3),2)*MOD(INT(MOD(INT((E45)/256),256)/2^3),2)*8+MOD(INT(MOD(INT((D45)/256),256)/2^4),2)*MOD(INT(MOD(INT((E45)/256),256)/2^4),2)*16+MOD(INT(MOD(INT((D45)/256),256)/2^5),2)*MOD(INT(MOD(INT((E45)/256),256)/2^5),2)*32+MOD(INT(MOD(INT((D45)/256),256)/2^6),2)*MOD(INT(MOD(INT((E45)/256),256)/2^6),2)*64+MOD(INT(MOD(INT((D45)/256),256)/2^7),2)*MOD(INT(MOD(INT((E45)/256),256)/2^7),2)*128)*256+(MOD(INT(MOD(INT((D45)/65536),256)/2^0),2)*MOD(INT(MOD(INT((E45)/65536),256)/2^0),2)*1+MOD(INT(MOD(INT((D45)/65536),256)/2^1),2)*MOD(INT(MOD(INT((E45)/65536),256)/2^1),2)*2+MOD(INT(MOD(INT((D45)/65536),256)/2^2),2)*MOD(INT(MOD(INT((E45)/65536),256)/2^2),2)*4+MOD(INT(MOD(INT((D45)/65536),256)/2^3),2)*MOD(INT(MOD(INT((E45)/65536),256)/2^3),2)*8+MOD(INT(MOD(INT((D45)/65536),256)/2^4),2)*MOD(INT(MOD(INT((E45)/65536),256)/2^4),2)*16+MOD(INT(MOD(INT((D45)/65536),256)/2^5),2)*MOD(INT(MOD(INT((E45)/65536),256)/2^5),2)*32+MOD(INT(MOD(INT((D45)/65536),256)/2^6),2)*MOD(INT(MOD(INT((E45)/65536),256)/2^6),2)*64+MOD(INT(MOD(INT((D45)/65536),256)/2^7),2)*MOD(INT(MOD(INT((E45)/65536),256)/2^7),2)*128)*65536+(MOD(INT(MOD(INT((D45)/16777216),256)/2^0),2)*MOD(INT(MOD(INT((E45)/16777216),256)/2^0),2)*1+MOD(INT(MOD(INT((D45)/16777216),256)/2^1),2)*MOD(INT(MOD(INT((E45)/16777216),256)/2^1),2)*2+MOD(INT(MOD(INT((D45)/16777216),256)/2^2),2)*MOD(INT(MOD(INT((E45)/16777216),256)/2^2),2)*4+MOD(INT(MOD(INT((D45)/16777216),256)/2^3),2)*MOD(INT(MOD(INT((E45)/16777216),256)/2^3),2)*8+MOD(INT(MOD(INT((D45)/16777216),256)/2^4),2)*MOD(INT(MOD(INT((E45)/16777216),256)/2^4),2)*16+MOD(INT(MOD(INT((D45)/16777216),256)/2^5),2)*MOD(INT(MOD(INT((E45)/16777216),256)/2^5),2)*32+MOD(INT(MOD(INT((D45)/16777216),256)/2^6),2)*MOD(INT(MOD(INT((E45)/16777216),256)/2^6),2)*64+MOD(INT(MOD(INT((D45)/16777216),256)/2^7),2)*MOD(INT(MOD(INT((E45)/16777216),256)/2^7),2)*128)*16777216)</f>
        <v>805350936</v>
      </c>
      <c r="H46" s="36" t="n">
        <f aca="false">MOD(D45+E45-2*G46,4294967296)</f>
        <v>3466940870</v>
      </c>
      <c r="I46" s="36" t="n">
        <f aca="false">((MOD(INT(MOD(INT((H46)/1),256)/2^0),2)*MOD(INT(MOD(INT((F45)/1),256)/2^0),2)*1+MOD(INT(MOD(INT((H46)/1),256)/2^1),2)*MOD(INT(MOD(INT((F45)/1),256)/2^1),2)*2+MOD(INT(MOD(INT((H46)/1),256)/2^2),2)*MOD(INT(MOD(INT((F45)/1),256)/2^2),2)*4+MOD(INT(MOD(INT((H46)/1),256)/2^3),2)*MOD(INT(MOD(INT((F45)/1),256)/2^3),2)*8+MOD(INT(MOD(INT((H46)/1),256)/2^4),2)*MOD(INT(MOD(INT((F45)/1),256)/2^4),2)*16+MOD(INT(MOD(INT((H46)/1),256)/2^5),2)*MOD(INT(MOD(INT((F45)/1),256)/2^5),2)*32+MOD(INT(MOD(INT((H46)/1),256)/2^6),2)*MOD(INT(MOD(INT((F45)/1),256)/2^6),2)*64+MOD(INT(MOD(INT((H46)/1),256)/2^7),2)*MOD(INT(MOD(INT((F45)/1),256)/2^7),2)*128)*1+(MOD(INT(MOD(INT((H46)/256),256)/2^0),2)*MOD(INT(MOD(INT((F45)/256),256)/2^0),2)*1+MOD(INT(MOD(INT((H46)/256),256)/2^1),2)*MOD(INT(MOD(INT((F45)/256),256)/2^1),2)*2+MOD(INT(MOD(INT((H46)/256),256)/2^2),2)*MOD(INT(MOD(INT((F45)/256),256)/2^2),2)*4+MOD(INT(MOD(INT((H46)/256),256)/2^3),2)*MOD(INT(MOD(INT((F45)/256),256)/2^3),2)*8+MOD(INT(MOD(INT((H46)/256),256)/2^4),2)*MOD(INT(MOD(INT((F45)/256),256)/2^4),2)*16+MOD(INT(MOD(INT((H46)/256),256)/2^5),2)*MOD(INT(MOD(INT((F45)/256),256)/2^5),2)*32+MOD(INT(MOD(INT((H46)/256),256)/2^6),2)*MOD(INT(MOD(INT((F45)/256),256)/2^6),2)*64+MOD(INT(MOD(INT((H46)/256),256)/2^7),2)*MOD(INT(MOD(INT((F45)/256),256)/2^7),2)*128)*256+(MOD(INT(MOD(INT((H46)/65536),256)/2^0),2)*MOD(INT(MOD(INT((F45)/65536),256)/2^0),2)*1+MOD(INT(MOD(INT((H46)/65536),256)/2^1),2)*MOD(INT(MOD(INT((F45)/65536),256)/2^1),2)*2+MOD(INT(MOD(INT((H46)/65536),256)/2^2),2)*MOD(INT(MOD(INT((F45)/65536),256)/2^2),2)*4+MOD(INT(MOD(INT((H46)/65536),256)/2^3),2)*MOD(INT(MOD(INT((F45)/65536),256)/2^3),2)*8+MOD(INT(MOD(INT((H46)/65536),256)/2^4),2)*MOD(INT(MOD(INT((F45)/65536),256)/2^4),2)*16+MOD(INT(MOD(INT((H46)/65536),256)/2^5),2)*MOD(INT(MOD(INT((F45)/65536),256)/2^5),2)*32+MOD(INT(MOD(INT((H46)/65536),256)/2^6),2)*MOD(INT(MOD(INT((F45)/65536),256)/2^6),2)*64+MOD(INT(MOD(INT((H46)/65536),256)/2^7),2)*MOD(INT(MOD(INT((F45)/65536),256)/2^7),2)*128)*65536+(MOD(INT(MOD(INT((H46)/16777216),256)/2^0),2)*MOD(INT(MOD(INT((F45)/16777216),256)/2^0),2)*1+MOD(INT(MOD(INT((H46)/16777216),256)/2^1),2)*MOD(INT(MOD(INT((F45)/16777216),256)/2^1),2)*2+MOD(INT(MOD(INT((H46)/16777216),256)/2^2),2)*MOD(INT(MOD(INT((F45)/16777216),256)/2^2),2)*4+MOD(INT(MOD(INT((H46)/16777216),256)/2^3),2)*MOD(INT(MOD(INT((F45)/16777216),256)/2^3),2)*8+MOD(INT(MOD(INT((H46)/16777216),256)/2^4),2)*MOD(INT(MOD(INT((F45)/16777216),256)/2^4),2)*16+MOD(INT(MOD(INT((H46)/16777216),256)/2^5),2)*MOD(INT(MOD(INT((F45)/16777216),256)/2^5),2)*32+MOD(INT(MOD(INT((H46)/16777216),256)/2^6),2)*MOD(INT(MOD(INT((F45)/16777216),256)/2^6),2)*64+MOD(INT(MOD(INT((H46)/16777216),256)/2^7),2)*MOD(INT(MOD(INT((F45)/16777216),256)/2^7),2)*128)*16777216)</f>
        <v>2350907394</v>
      </c>
      <c r="J46" s="41" t="n">
        <f aca="false">MOD(H46+F45-2*I46,4294967296)</f>
        <v>1921997292</v>
      </c>
      <c r="K46" s="36" t="n">
        <f aca="false">(0)+(0)*256+(0)*65536+(0)*16777216</f>
        <v>0</v>
      </c>
      <c r="L46" s="36" t="n">
        <f aca="false">'📦 MD5 Constants'!C44</f>
        <v>681279174</v>
      </c>
      <c r="M46" s="36" t="n">
        <f aca="false">'📦 MD5 Constants'!H44</f>
        <v>4</v>
      </c>
      <c r="N46" s="36" t="n">
        <f aca="false">MOD(C45+J46+K46+'📦 MD5 Constants'!C44,4294967296)</f>
        <v>1514044007</v>
      </c>
      <c r="O46" s="36" t="n">
        <f aca="false">MOD(MOD(N46,2^28)*2^4+INT(N46/2^28),4294967296)</f>
        <v>2749867637</v>
      </c>
      <c r="P46" s="41" t="n">
        <f aca="false">D46</f>
        <v>1441309901</v>
      </c>
      <c r="Q46" s="34" t="s">
        <v>179</v>
      </c>
    </row>
    <row r="47" customFormat="false" ht="13.5" hidden="false" customHeight="true" outlineLevel="0" collapsed="false">
      <c r="B47" s="40" t="n">
        <v>42</v>
      </c>
      <c r="C47" s="41" t="n">
        <f aca="false">F46</f>
        <v>2091233182</v>
      </c>
      <c r="D47" s="41" t="n">
        <f aca="false">MOD(D46+O47,4294967296)</f>
        <v>2185060929</v>
      </c>
      <c r="E47" s="41" t="n">
        <f aca="false">D46</f>
        <v>1441309901</v>
      </c>
      <c r="F47" s="41" t="n">
        <f aca="false">E46</f>
        <v>2986409560</v>
      </c>
      <c r="G47" s="36" t="n">
        <f aca="false">((MOD(INT(MOD(INT((D46)/1),256)/2^0),2)*MOD(INT(MOD(INT((E46)/1),256)/2^0),2)*1+MOD(INT(MOD(INT((D46)/1),256)/2^1),2)*MOD(INT(MOD(INT((E46)/1),256)/2^1),2)*2+MOD(INT(MOD(INT((D46)/1),256)/2^2),2)*MOD(INT(MOD(INT((E46)/1),256)/2^2),2)*4+MOD(INT(MOD(INT((D46)/1),256)/2^3),2)*MOD(INT(MOD(INT((E46)/1),256)/2^3),2)*8+MOD(INT(MOD(INT((D46)/1),256)/2^4),2)*MOD(INT(MOD(INT((E46)/1),256)/2^4),2)*16+MOD(INT(MOD(INT((D46)/1),256)/2^5),2)*MOD(INT(MOD(INT((E46)/1),256)/2^5),2)*32+MOD(INT(MOD(INT((D46)/1),256)/2^6),2)*MOD(INT(MOD(INT((E46)/1),256)/2^6),2)*64+MOD(INT(MOD(INT((D46)/1),256)/2^7),2)*MOD(INT(MOD(INT((E46)/1),256)/2^7),2)*128)*1+(MOD(INT(MOD(INT((D46)/256),256)/2^0),2)*MOD(INT(MOD(INT((E46)/256),256)/2^0),2)*1+MOD(INT(MOD(INT((D46)/256),256)/2^1),2)*MOD(INT(MOD(INT((E46)/256),256)/2^1),2)*2+MOD(INT(MOD(INT((D46)/256),256)/2^2),2)*MOD(INT(MOD(INT((E46)/256),256)/2^2),2)*4+MOD(INT(MOD(INT((D46)/256),256)/2^3),2)*MOD(INT(MOD(INT((E46)/256),256)/2^3),2)*8+MOD(INT(MOD(INT((D46)/256),256)/2^4),2)*MOD(INT(MOD(INT((E46)/256),256)/2^4),2)*16+MOD(INT(MOD(INT((D46)/256),256)/2^5),2)*MOD(INT(MOD(INT((E46)/256),256)/2^5),2)*32+MOD(INT(MOD(INT((D46)/256),256)/2^6),2)*MOD(INT(MOD(INT((E46)/256),256)/2^6),2)*64+MOD(INT(MOD(INT((D46)/256),256)/2^7),2)*MOD(INT(MOD(INT((E46)/256),256)/2^7),2)*128)*256+(MOD(INT(MOD(INT((D46)/65536),256)/2^0),2)*MOD(INT(MOD(INT((E46)/65536),256)/2^0),2)*1+MOD(INT(MOD(INT((D46)/65536),256)/2^1),2)*MOD(INT(MOD(INT((E46)/65536),256)/2^1),2)*2+MOD(INT(MOD(INT((D46)/65536),256)/2^2),2)*MOD(INT(MOD(INT((E46)/65536),256)/2^2),2)*4+MOD(INT(MOD(INT((D46)/65536),256)/2^3),2)*MOD(INT(MOD(INT((E46)/65536),256)/2^3),2)*8+MOD(INT(MOD(INT((D46)/65536),256)/2^4),2)*MOD(INT(MOD(INT((E46)/65536),256)/2^4),2)*16+MOD(INT(MOD(INT((D46)/65536),256)/2^5),2)*MOD(INT(MOD(INT((E46)/65536),256)/2^5),2)*32+MOD(INT(MOD(INT((D46)/65536),256)/2^6),2)*MOD(INT(MOD(INT((E46)/65536),256)/2^6),2)*64+MOD(INT(MOD(INT((D46)/65536),256)/2^7),2)*MOD(INT(MOD(INT((E46)/65536),256)/2^7),2)*128)*65536+(MOD(INT(MOD(INT((D46)/16777216),256)/2^0),2)*MOD(INT(MOD(INT((E46)/16777216),256)/2^0),2)*1+MOD(INT(MOD(INT((D46)/16777216),256)/2^1),2)*MOD(INT(MOD(INT((E46)/16777216),256)/2^1),2)*2+MOD(INT(MOD(INT((D46)/16777216),256)/2^2),2)*MOD(INT(MOD(INT((E46)/16777216),256)/2^2),2)*4+MOD(INT(MOD(INT((D46)/16777216),256)/2^3),2)*MOD(INT(MOD(INT((E46)/16777216),256)/2^3),2)*8+MOD(INT(MOD(INT((D46)/16777216),256)/2^4),2)*MOD(INT(MOD(INT((E46)/16777216),256)/2^4),2)*16+MOD(INT(MOD(INT((D46)/16777216),256)/2^5),2)*MOD(INT(MOD(INT((E46)/16777216),256)/2^5),2)*32+MOD(INT(MOD(INT((D46)/16777216),256)/2^6),2)*MOD(INT(MOD(INT((E46)/16777216),256)/2^6),2)*64+MOD(INT(MOD(INT((D46)/16777216),256)/2^7),2)*MOD(INT(MOD(INT((E46)/16777216),256)/2^7),2)*128)*16777216)</f>
        <v>268477512</v>
      </c>
      <c r="H47" s="36" t="n">
        <f aca="false">MOD(D46+E46-2*G47,4294967296)</f>
        <v>3890764437</v>
      </c>
      <c r="I47" s="36" t="n">
        <f aca="false">((MOD(INT(MOD(INT((H47)/1),256)/2^0),2)*MOD(INT(MOD(INT((F46)/1),256)/2^0),2)*1+MOD(INT(MOD(INT((H47)/1),256)/2^1),2)*MOD(INT(MOD(INT((F46)/1),256)/2^1),2)*2+MOD(INT(MOD(INT((H47)/1),256)/2^2),2)*MOD(INT(MOD(INT((F46)/1),256)/2^2),2)*4+MOD(INT(MOD(INT((H47)/1),256)/2^3),2)*MOD(INT(MOD(INT((F46)/1),256)/2^3),2)*8+MOD(INT(MOD(INT((H47)/1),256)/2^4),2)*MOD(INT(MOD(INT((F46)/1),256)/2^4),2)*16+MOD(INT(MOD(INT((H47)/1),256)/2^5),2)*MOD(INT(MOD(INT((F46)/1),256)/2^5),2)*32+MOD(INT(MOD(INT((H47)/1),256)/2^6),2)*MOD(INT(MOD(INT((F46)/1),256)/2^6),2)*64+MOD(INT(MOD(INT((H47)/1),256)/2^7),2)*MOD(INT(MOD(INT((F46)/1),256)/2^7),2)*128)*1+(MOD(INT(MOD(INT((H47)/256),256)/2^0),2)*MOD(INT(MOD(INT((F46)/256),256)/2^0),2)*1+MOD(INT(MOD(INT((H47)/256),256)/2^1),2)*MOD(INT(MOD(INT((F46)/256),256)/2^1),2)*2+MOD(INT(MOD(INT((H47)/256),256)/2^2),2)*MOD(INT(MOD(INT((F46)/256),256)/2^2),2)*4+MOD(INT(MOD(INT((H47)/256),256)/2^3),2)*MOD(INT(MOD(INT((F46)/256),256)/2^3),2)*8+MOD(INT(MOD(INT((H47)/256),256)/2^4),2)*MOD(INT(MOD(INT((F46)/256),256)/2^4),2)*16+MOD(INT(MOD(INT((H47)/256),256)/2^5),2)*MOD(INT(MOD(INT((F46)/256),256)/2^5),2)*32+MOD(INT(MOD(INT((H47)/256),256)/2^6),2)*MOD(INT(MOD(INT((F46)/256),256)/2^6),2)*64+MOD(INT(MOD(INT((H47)/256),256)/2^7),2)*MOD(INT(MOD(INT((F46)/256),256)/2^7),2)*128)*256+(MOD(INT(MOD(INT((H47)/65536),256)/2^0),2)*MOD(INT(MOD(INT((F46)/65536),256)/2^0),2)*1+MOD(INT(MOD(INT((H47)/65536),256)/2^1),2)*MOD(INT(MOD(INT((F46)/65536),256)/2^1),2)*2+MOD(INT(MOD(INT((H47)/65536),256)/2^2),2)*MOD(INT(MOD(INT((F46)/65536),256)/2^2),2)*4+MOD(INT(MOD(INT((H47)/65536),256)/2^3),2)*MOD(INT(MOD(INT((F46)/65536),256)/2^3),2)*8+MOD(INT(MOD(INT((H47)/65536),256)/2^4),2)*MOD(INT(MOD(INT((F46)/65536),256)/2^4),2)*16+MOD(INT(MOD(INT((H47)/65536),256)/2^5),2)*MOD(INT(MOD(INT((F46)/65536),256)/2^5),2)*32+MOD(INT(MOD(INT((H47)/65536),256)/2^6),2)*MOD(INT(MOD(INT((F46)/65536),256)/2^6),2)*64+MOD(INT(MOD(INT((H47)/65536),256)/2^7),2)*MOD(INT(MOD(INT((F46)/65536),256)/2^7),2)*128)*65536+(MOD(INT(MOD(INT((H47)/16777216),256)/2^0),2)*MOD(INT(MOD(INT((F46)/16777216),256)/2^0),2)*1+MOD(INT(MOD(INT((H47)/16777216),256)/2^1),2)*MOD(INT(MOD(INT((F46)/16777216),256)/2^1),2)*2+MOD(INT(MOD(INT((H47)/16777216),256)/2^2),2)*MOD(INT(MOD(INT((F46)/16777216),256)/2^2),2)*4+MOD(INT(MOD(INT((H47)/16777216),256)/2^3),2)*MOD(INT(MOD(INT((F46)/16777216),256)/2^3),2)*8+MOD(INT(MOD(INT((H47)/16777216),256)/2^4),2)*MOD(INT(MOD(INT((F46)/16777216),256)/2^4),2)*16+MOD(INT(MOD(INT((H47)/16777216),256)/2^5),2)*MOD(INT(MOD(INT((F46)/16777216),256)/2^5),2)*32+MOD(INT(MOD(INT((H47)/16777216),256)/2^6),2)*MOD(INT(MOD(INT((F46)/16777216),256)/2^6),2)*64+MOD(INT(MOD(INT((H47)/16777216),256)/2^7),2)*MOD(INT(MOD(INT((F46)/16777216),256)/2^7),2)*128)*16777216)</f>
        <v>1688210068</v>
      </c>
      <c r="J47" s="41" t="n">
        <f aca="false">MOD(H47+F46-2*I47,4294967296)</f>
        <v>2605577483</v>
      </c>
      <c r="K47" s="36" t="n">
        <f aca="false">(IF(LEN('🔐 MD5'!B5)&gt;0,CODE(MID('🔐 MD5'!B5,1,1)),IF(LEN('🔐 MD5'!B5)=0,128,0)))+(IF(LEN('🔐 MD5'!B5)&gt;1,CODE(MID('🔐 MD5'!B5,2,1)),IF(LEN('🔐 MD5'!B5)=1,128,0)))*256+(IF(LEN('🔐 MD5'!B5)&gt;2,CODE(MID('🔐 MD5'!B5,3,1)),IF(LEN('🔐 MD5'!B5)=2,128,0)))*65536+(IF(LEN('🔐 MD5'!B5)&gt;3,CODE(MID('🔐 MD5'!B5,4,1)),IF(LEN('🔐 MD5'!B5)=3,128,0)))*16777216</f>
        <v>1819043176</v>
      </c>
      <c r="L47" s="36" t="n">
        <f aca="false">'📦 MD5 Constants'!C45</f>
        <v>3936430074</v>
      </c>
      <c r="M47" s="36" t="n">
        <f aca="false">'📦 MD5 Constants'!H45</f>
        <v>11</v>
      </c>
      <c r="N47" s="36" t="n">
        <f aca="false">MOD(C46+J47+K47+'📦 MD5 Constants'!C45,4294967296)</f>
        <v>2927987351</v>
      </c>
      <c r="O47" s="36" t="n">
        <f aca="false">MOD(MOD(N47,2^21)*2^11+INT(N47/2^21),4294967296)</f>
        <v>743751028</v>
      </c>
      <c r="P47" s="41" t="n">
        <f aca="false">D47</f>
        <v>2185060929</v>
      </c>
      <c r="Q47" s="34" t="s">
        <v>180</v>
      </c>
    </row>
    <row r="48" customFormat="false" ht="13.5" hidden="false" customHeight="true" outlineLevel="0" collapsed="false">
      <c r="B48" s="40" t="n">
        <v>43</v>
      </c>
      <c r="C48" s="41" t="n">
        <f aca="false">F47</f>
        <v>2986409560</v>
      </c>
      <c r="D48" s="41" t="n">
        <f aca="false">MOD(D47+O48,4294967296)</f>
        <v>2603948459</v>
      </c>
      <c r="E48" s="41" t="n">
        <f aca="false">D47</f>
        <v>2185060929</v>
      </c>
      <c r="F48" s="41" t="n">
        <f aca="false">E47</f>
        <v>1441309901</v>
      </c>
      <c r="G48" s="36" t="n">
        <f aca="false">((MOD(INT(MOD(INT((D47)/1),256)/2^0),2)*MOD(INT(MOD(INT((E47)/1),256)/2^0),2)*1+MOD(INT(MOD(INT((D47)/1),256)/2^1),2)*MOD(INT(MOD(INT((E47)/1),256)/2^1),2)*2+MOD(INT(MOD(INT((D47)/1),256)/2^2),2)*MOD(INT(MOD(INT((E47)/1),256)/2^2),2)*4+MOD(INT(MOD(INT((D47)/1),256)/2^3),2)*MOD(INT(MOD(INT((E47)/1),256)/2^3),2)*8+MOD(INT(MOD(INT((D47)/1),256)/2^4),2)*MOD(INT(MOD(INT((E47)/1),256)/2^4),2)*16+MOD(INT(MOD(INT((D47)/1),256)/2^5),2)*MOD(INT(MOD(INT((E47)/1),256)/2^5),2)*32+MOD(INT(MOD(INT((D47)/1),256)/2^6),2)*MOD(INT(MOD(INT((E47)/1),256)/2^6),2)*64+MOD(INT(MOD(INT((D47)/1),256)/2^7),2)*MOD(INT(MOD(INT((E47)/1),256)/2^7),2)*128)*1+(MOD(INT(MOD(INT((D47)/256),256)/2^0),2)*MOD(INT(MOD(INT((E47)/256),256)/2^0),2)*1+MOD(INT(MOD(INT((D47)/256),256)/2^1),2)*MOD(INT(MOD(INT((E47)/256),256)/2^1),2)*2+MOD(INT(MOD(INT((D47)/256),256)/2^2),2)*MOD(INT(MOD(INT((E47)/256),256)/2^2),2)*4+MOD(INT(MOD(INT((D47)/256),256)/2^3),2)*MOD(INT(MOD(INT((E47)/256),256)/2^3),2)*8+MOD(INT(MOD(INT((D47)/256),256)/2^4),2)*MOD(INT(MOD(INT((E47)/256),256)/2^4),2)*16+MOD(INT(MOD(INT((D47)/256),256)/2^5),2)*MOD(INT(MOD(INT((E47)/256),256)/2^5),2)*32+MOD(INT(MOD(INT((D47)/256),256)/2^6),2)*MOD(INT(MOD(INT((E47)/256),256)/2^6),2)*64+MOD(INT(MOD(INT((D47)/256),256)/2^7),2)*MOD(INT(MOD(INT((E47)/256),256)/2^7),2)*128)*256+(MOD(INT(MOD(INT((D47)/65536),256)/2^0),2)*MOD(INT(MOD(INT((E47)/65536),256)/2^0),2)*1+MOD(INT(MOD(INT((D47)/65536),256)/2^1),2)*MOD(INT(MOD(INT((E47)/65536),256)/2^1),2)*2+MOD(INT(MOD(INT((D47)/65536),256)/2^2),2)*MOD(INT(MOD(INT((E47)/65536),256)/2^2),2)*4+MOD(INT(MOD(INT((D47)/65536),256)/2^3),2)*MOD(INT(MOD(INT((E47)/65536),256)/2^3),2)*8+MOD(INT(MOD(INT((D47)/65536),256)/2^4),2)*MOD(INT(MOD(INT((E47)/65536),256)/2^4),2)*16+MOD(INT(MOD(INT((D47)/65536),256)/2^5),2)*MOD(INT(MOD(INT((E47)/65536),256)/2^5),2)*32+MOD(INT(MOD(INT((D47)/65536),256)/2^6),2)*MOD(INT(MOD(INT((E47)/65536),256)/2^6),2)*64+MOD(INT(MOD(INT((D47)/65536),256)/2^7),2)*MOD(INT(MOD(INT((E47)/65536),256)/2^7),2)*128)*65536+(MOD(INT(MOD(INT((D47)/16777216),256)/2^0),2)*MOD(INT(MOD(INT((E47)/16777216),256)/2^0),2)*1+MOD(INT(MOD(INT((D47)/16777216),256)/2^1),2)*MOD(INT(MOD(INT((E47)/16777216),256)/2^1),2)*2+MOD(INT(MOD(INT((D47)/16777216),256)/2^2),2)*MOD(INT(MOD(INT((E47)/16777216),256)/2^2),2)*4+MOD(INT(MOD(INT((D47)/16777216),256)/2^3),2)*MOD(INT(MOD(INT((E47)/16777216),256)/2^3),2)*8+MOD(INT(MOD(INT((D47)/16777216),256)/2^4),2)*MOD(INT(MOD(INT((E47)/16777216),256)/2^4),2)*16+MOD(INT(MOD(INT((D47)/16777216),256)/2^5),2)*MOD(INT(MOD(INT((E47)/16777216),256)/2^5),2)*32+MOD(INT(MOD(INT((D47)/16777216),256)/2^6),2)*MOD(INT(MOD(INT((E47)/16777216),256)/2^6),2)*64+MOD(INT(MOD(INT((D47)/16777216),256)/2^7),2)*MOD(INT(MOD(INT((E47)/16777216),256)/2^7),2)*128)*16777216)</f>
        <v>2629697</v>
      </c>
      <c r="H48" s="36" t="n">
        <f aca="false">MOD(D47+E47-2*G48,4294967296)</f>
        <v>3621111436</v>
      </c>
      <c r="I48" s="36" t="n">
        <f aca="false">((MOD(INT(MOD(INT((H48)/1),256)/2^0),2)*MOD(INT(MOD(INT((F47)/1),256)/2^0),2)*1+MOD(INT(MOD(INT((H48)/1),256)/2^1),2)*MOD(INT(MOD(INT((F47)/1),256)/2^1),2)*2+MOD(INT(MOD(INT((H48)/1),256)/2^2),2)*MOD(INT(MOD(INT((F47)/1),256)/2^2),2)*4+MOD(INT(MOD(INT((H48)/1),256)/2^3),2)*MOD(INT(MOD(INT((F47)/1),256)/2^3),2)*8+MOD(INT(MOD(INT((H48)/1),256)/2^4),2)*MOD(INT(MOD(INT((F47)/1),256)/2^4),2)*16+MOD(INT(MOD(INT((H48)/1),256)/2^5),2)*MOD(INT(MOD(INT((F47)/1),256)/2^5),2)*32+MOD(INT(MOD(INT((H48)/1),256)/2^6),2)*MOD(INT(MOD(INT((F47)/1),256)/2^6),2)*64+MOD(INT(MOD(INT((H48)/1),256)/2^7),2)*MOD(INT(MOD(INT((F47)/1),256)/2^7),2)*128)*1+(MOD(INT(MOD(INT((H48)/256),256)/2^0),2)*MOD(INT(MOD(INT((F47)/256),256)/2^0),2)*1+MOD(INT(MOD(INT((H48)/256),256)/2^1),2)*MOD(INT(MOD(INT((F47)/256),256)/2^1),2)*2+MOD(INT(MOD(INT((H48)/256),256)/2^2),2)*MOD(INT(MOD(INT((F47)/256),256)/2^2),2)*4+MOD(INT(MOD(INT((H48)/256),256)/2^3),2)*MOD(INT(MOD(INT((F47)/256),256)/2^3),2)*8+MOD(INT(MOD(INT((H48)/256),256)/2^4),2)*MOD(INT(MOD(INT((F47)/256),256)/2^4),2)*16+MOD(INT(MOD(INT((H48)/256),256)/2^5),2)*MOD(INT(MOD(INT((F47)/256),256)/2^5),2)*32+MOD(INT(MOD(INT((H48)/256),256)/2^6),2)*MOD(INT(MOD(INT((F47)/256),256)/2^6),2)*64+MOD(INT(MOD(INT((H48)/256),256)/2^7),2)*MOD(INT(MOD(INT((F47)/256),256)/2^7),2)*128)*256+(MOD(INT(MOD(INT((H48)/65536),256)/2^0),2)*MOD(INT(MOD(INT((F47)/65536),256)/2^0),2)*1+MOD(INT(MOD(INT((H48)/65536),256)/2^1),2)*MOD(INT(MOD(INT((F47)/65536),256)/2^1),2)*2+MOD(INT(MOD(INT((H48)/65536),256)/2^2),2)*MOD(INT(MOD(INT((F47)/65536),256)/2^2),2)*4+MOD(INT(MOD(INT((H48)/65536),256)/2^3),2)*MOD(INT(MOD(INT((F47)/65536),256)/2^3),2)*8+MOD(INT(MOD(INT((H48)/65536),256)/2^4),2)*MOD(INT(MOD(INT((F47)/65536),256)/2^4),2)*16+MOD(INT(MOD(INT((H48)/65536),256)/2^5),2)*MOD(INT(MOD(INT((F47)/65536),256)/2^5),2)*32+MOD(INT(MOD(INT((H48)/65536),256)/2^6),2)*MOD(INT(MOD(INT((F47)/65536),256)/2^6),2)*64+MOD(INT(MOD(INT((H48)/65536),256)/2^7),2)*MOD(INT(MOD(INT((F47)/65536),256)/2^7),2)*128)*65536+(MOD(INT(MOD(INT((H48)/16777216),256)/2^0),2)*MOD(INT(MOD(INT((F47)/16777216),256)/2^0),2)*1+MOD(INT(MOD(INT((H48)/16777216),256)/2^1),2)*MOD(INT(MOD(INT((F47)/16777216),256)/2^1),2)*2+MOD(INT(MOD(INT((H48)/16777216),256)/2^2),2)*MOD(INT(MOD(INT((F47)/16777216),256)/2^2),2)*4+MOD(INT(MOD(INT((H48)/16777216),256)/2^3),2)*MOD(INT(MOD(INT((F47)/16777216),256)/2^3),2)*8+MOD(INT(MOD(INT((H48)/16777216),256)/2^4),2)*MOD(INT(MOD(INT((F47)/16777216),256)/2^4),2)*16+MOD(INT(MOD(INT((H48)/16777216),256)/2^5),2)*MOD(INT(MOD(INT((F47)/16777216),256)/2^5),2)*32+MOD(INT(MOD(INT((H48)/16777216),256)/2^6),2)*MOD(INT(MOD(INT((F47)/16777216),256)/2^6),2)*64+MOD(INT(MOD(INT((H48)/16777216),256)/2^7),2)*MOD(INT(MOD(INT((F47)/16777216),256)/2^7),2)*128)*16777216)</f>
        <v>2449524232</v>
      </c>
      <c r="J48" s="41" t="n">
        <f aca="false">MOD(H48+F47-2*I48,4294967296)</f>
        <v>1708472532</v>
      </c>
      <c r="K48" s="36" t="n">
        <f aca="false">(0)+(0)*256+(0)*65536+(0)*16777216</f>
        <v>0</v>
      </c>
      <c r="L48" s="36" t="n">
        <f aca="false">'📦 MD5 Constants'!C46</f>
        <v>3572445317</v>
      </c>
      <c r="M48" s="36" t="n">
        <f aca="false">'📦 MD5 Constants'!H46</f>
        <v>16</v>
      </c>
      <c r="N48" s="36" t="n">
        <f aca="false">MOD(C47+J48+K48+'📦 MD5 Constants'!C46,4294967296)</f>
        <v>3077183735</v>
      </c>
      <c r="O48" s="36" t="n">
        <f aca="false">MOD(MOD(N48,2^16)*2^16+INT(N48/2^16),4294967296)</f>
        <v>418887530</v>
      </c>
      <c r="P48" s="41" t="n">
        <f aca="false">D48</f>
        <v>2603948459</v>
      </c>
      <c r="Q48" s="34" t="s">
        <v>181</v>
      </c>
    </row>
    <row r="49" customFormat="false" ht="13.5" hidden="false" customHeight="true" outlineLevel="0" collapsed="false">
      <c r="B49" s="40" t="n">
        <v>44</v>
      </c>
      <c r="C49" s="41" t="n">
        <f aca="false">F48</f>
        <v>1441309901</v>
      </c>
      <c r="D49" s="41" t="n">
        <f aca="false">MOD(D48+O49,4294967296)</f>
        <v>3711356584</v>
      </c>
      <c r="E49" s="41" t="n">
        <f aca="false">D48</f>
        <v>2603948459</v>
      </c>
      <c r="F49" s="41" t="n">
        <f aca="false">E48</f>
        <v>2185060929</v>
      </c>
      <c r="G49" s="36" t="n">
        <f aca="false">((MOD(INT(MOD(INT((D48)/1),256)/2^0),2)*MOD(INT(MOD(INT((E48)/1),256)/2^0),2)*1+MOD(INT(MOD(INT((D48)/1),256)/2^1),2)*MOD(INT(MOD(INT((E48)/1),256)/2^1),2)*2+MOD(INT(MOD(INT((D48)/1),256)/2^2),2)*MOD(INT(MOD(INT((E48)/1),256)/2^2),2)*4+MOD(INT(MOD(INT((D48)/1),256)/2^3),2)*MOD(INT(MOD(INT((E48)/1),256)/2^3),2)*8+MOD(INT(MOD(INT((D48)/1),256)/2^4),2)*MOD(INT(MOD(INT((E48)/1),256)/2^4),2)*16+MOD(INT(MOD(INT((D48)/1),256)/2^5),2)*MOD(INT(MOD(INT((E48)/1),256)/2^5),2)*32+MOD(INT(MOD(INT((D48)/1),256)/2^6),2)*MOD(INT(MOD(INT((E48)/1),256)/2^6),2)*64+MOD(INT(MOD(INT((D48)/1),256)/2^7),2)*MOD(INT(MOD(INT((E48)/1),256)/2^7),2)*128)*1+(MOD(INT(MOD(INT((D48)/256),256)/2^0),2)*MOD(INT(MOD(INT((E48)/256),256)/2^0),2)*1+MOD(INT(MOD(INT((D48)/256),256)/2^1),2)*MOD(INT(MOD(INT((E48)/256),256)/2^1),2)*2+MOD(INT(MOD(INT((D48)/256),256)/2^2),2)*MOD(INT(MOD(INT((E48)/256),256)/2^2),2)*4+MOD(INT(MOD(INT((D48)/256),256)/2^3),2)*MOD(INT(MOD(INT((E48)/256),256)/2^3),2)*8+MOD(INT(MOD(INT((D48)/256),256)/2^4),2)*MOD(INT(MOD(INT((E48)/256),256)/2^4),2)*16+MOD(INT(MOD(INT((D48)/256),256)/2^5),2)*MOD(INT(MOD(INT((E48)/256),256)/2^5),2)*32+MOD(INT(MOD(INT((D48)/256),256)/2^6),2)*MOD(INT(MOD(INT((E48)/256),256)/2^6),2)*64+MOD(INT(MOD(INT((D48)/256),256)/2^7),2)*MOD(INT(MOD(INT((E48)/256),256)/2^7),2)*128)*256+(MOD(INT(MOD(INT((D48)/65536),256)/2^0),2)*MOD(INT(MOD(INT((E48)/65536),256)/2^0),2)*1+MOD(INT(MOD(INT((D48)/65536),256)/2^1),2)*MOD(INT(MOD(INT((E48)/65536),256)/2^1),2)*2+MOD(INT(MOD(INT((D48)/65536),256)/2^2),2)*MOD(INT(MOD(INT((E48)/65536),256)/2^2),2)*4+MOD(INT(MOD(INT((D48)/65536),256)/2^3),2)*MOD(INT(MOD(INT((E48)/65536),256)/2^3),2)*8+MOD(INT(MOD(INT((D48)/65536),256)/2^4),2)*MOD(INT(MOD(INT((E48)/65536),256)/2^4),2)*16+MOD(INT(MOD(INT((D48)/65536),256)/2^5),2)*MOD(INT(MOD(INT((E48)/65536),256)/2^5),2)*32+MOD(INT(MOD(INT((D48)/65536),256)/2^6),2)*MOD(INT(MOD(INT((E48)/65536),256)/2^6),2)*64+MOD(INT(MOD(INT((D48)/65536),256)/2^7),2)*MOD(INT(MOD(INT((E48)/65536),256)/2^7),2)*128)*65536+(MOD(INT(MOD(INT((D48)/16777216),256)/2^0),2)*MOD(INT(MOD(INT((E48)/16777216),256)/2^0),2)*1+MOD(INT(MOD(INT((D48)/16777216),256)/2^1),2)*MOD(INT(MOD(INT((E48)/16777216),256)/2^1),2)*2+MOD(INT(MOD(INT((D48)/16777216),256)/2^2),2)*MOD(INT(MOD(INT((E48)/16777216),256)/2^2),2)*4+MOD(INT(MOD(INT((D48)/16777216),256)/2^3),2)*MOD(INT(MOD(INT((E48)/16777216),256)/2^3),2)*8+MOD(INT(MOD(INT((D48)/16777216),256)/2^4),2)*MOD(INT(MOD(INT((E48)/16777216),256)/2^4),2)*16+MOD(INT(MOD(INT((D48)/16777216),256)/2^5),2)*MOD(INT(MOD(INT((E48)/16777216),256)/2^5),2)*32+MOD(INT(MOD(INT((D48)/16777216),256)/2^6),2)*MOD(INT(MOD(INT((E48)/16777216),256)/2^6),2)*64+MOD(INT(MOD(INT((D48)/16777216),256)/2^7),2)*MOD(INT(MOD(INT((E48)/16777216),256)/2^7),2)*128)*16777216)</f>
        <v>2184511489</v>
      </c>
      <c r="H49" s="36" t="n">
        <f aca="false">MOD(D48+E48-2*G49,4294967296)</f>
        <v>419986410</v>
      </c>
      <c r="I49" s="36" t="n">
        <f aca="false">((MOD(INT(MOD(INT((H49)/1),256)/2^0),2)*MOD(INT(MOD(INT((F48)/1),256)/2^0),2)*1+MOD(INT(MOD(INT((H49)/1),256)/2^1),2)*MOD(INT(MOD(INT((F48)/1),256)/2^1),2)*2+MOD(INT(MOD(INT((H49)/1),256)/2^2),2)*MOD(INT(MOD(INT((F48)/1),256)/2^2),2)*4+MOD(INT(MOD(INT((H49)/1),256)/2^3),2)*MOD(INT(MOD(INT((F48)/1),256)/2^3),2)*8+MOD(INT(MOD(INT((H49)/1),256)/2^4),2)*MOD(INT(MOD(INT((F48)/1),256)/2^4),2)*16+MOD(INT(MOD(INT((H49)/1),256)/2^5),2)*MOD(INT(MOD(INT((F48)/1),256)/2^5),2)*32+MOD(INT(MOD(INT((H49)/1),256)/2^6),2)*MOD(INT(MOD(INT((F48)/1),256)/2^6),2)*64+MOD(INT(MOD(INT((H49)/1),256)/2^7),2)*MOD(INT(MOD(INT((F48)/1),256)/2^7),2)*128)*1+(MOD(INT(MOD(INT((H49)/256),256)/2^0),2)*MOD(INT(MOD(INT((F48)/256),256)/2^0),2)*1+MOD(INT(MOD(INT((H49)/256),256)/2^1),2)*MOD(INT(MOD(INT((F48)/256),256)/2^1),2)*2+MOD(INT(MOD(INT((H49)/256),256)/2^2),2)*MOD(INT(MOD(INT((F48)/256),256)/2^2),2)*4+MOD(INT(MOD(INT((H49)/256),256)/2^3),2)*MOD(INT(MOD(INT((F48)/256),256)/2^3),2)*8+MOD(INT(MOD(INT((H49)/256),256)/2^4),2)*MOD(INT(MOD(INT((F48)/256),256)/2^4),2)*16+MOD(INT(MOD(INT((H49)/256),256)/2^5),2)*MOD(INT(MOD(INT((F48)/256),256)/2^5),2)*32+MOD(INT(MOD(INT((H49)/256),256)/2^6),2)*MOD(INT(MOD(INT((F48)/256),256)/2^6),2)*64+MOD(INT(MOD(INT((H49)/256),256)/2^7),2)*MOD(INT(MOD(INT((F48)/256),256)/2^7),2)*128)*256+(MOD(INT(MOD(INT((H49)/65536),256)/2^0),2)*MOD(INT(MOD(INT((F48)/65536),256)/2^0),2)*1+MOD(INT(MOD(INT((H49)/65536),256)/2^1),2)*MOD(INT(MOD(INT((F48)/65536),256)/2^1),2)*2+MOD(INT(MOD(INT((H49)/65536),256)/2^2),2)*MOD(INT(MOD(INT((F48)/65536),256)/2^2),2)*4+MOD(INT(MOD(INT((H49)/65536),256)/2^3),2)*MOD(INT(MOD(INT((F48)/65536),256)/2^3),2)*8+MOD(INT(MOD(INT((H49)/65536),256)/2^4),2)*MOD(INT(MOD(INT((F48)/65536),256)/2^4),2)*16+MOD(INT(MOD(INT((H49)/65536),256)/2^5),2)*MOD(INT(MOD(INT((F48)/65536),256)/2^5),2)*32+MOD(INT(MOD(INT((H49)/65536),256)/2^6),2)*MOD(INT(MOD(INT((F48)/65536),256)/2^6),2)*64+MOD(INT(MOD(INT((H49)/65536),256)/2^7),2)*MOD(INT(MOD(INT((F48)/65536),256)/2^7),2)*128)*65536+(MOD(INT(MOD(INT((H49)/16777216),256)/2^0),2)*MOD(INT(MOD(INT((F48)/16777216),256)/2^0),2)*1+MOD(INT(MOD(INT((H49)/16777216),256)/2^1),2)*MOD(INT(MOD(INT((F48)/16777216),256)/2^1),2)*2+MOD(INT(MOD(INT((H49)/16777216),256)/2^2),2)*MOD(INT(MOD(INT((F48)/16777216),256)/2^2),2)*4+MOD(INT(MOD(INT((H49)/16777216),256)/2^3),2)*MOD(INT(MOD(INT((F48)/16777216),256)/2^3),2)*8+MOD(INT(MOD(INT((H49)/16777216),256)/2^4),2)*MOD(INT(MOD(INT((F48)/16777216),256)/2^4),2)*16+MOD(INT(MOD(INT((H49)/16777216),256)/2^5),2)*MOD(INT(MOD(INT((F48)/16777216),256)/2^5),2)*32+MOD(INT(MOD(INT((H49)/16777216),256)/2^6),2)*MOD(INT(MOD(INT((F48)/16777216),256)/2^6),2)*64+MOD(INT(MOD(INT((H49)/16777216),256)/2^7),2)*MOD(INT(MOD(INT((F48)/16777216),256)/2^7),2)*128)*16777216)</f>
        <v>285745352</v>
      </c>
      <c r="J49" s="41" t="n">
        <f aca="false">MOD(H49+F48-2*I49,4294967296)</f>
        <v>1289805607</v>
      </c>
      <c r="K49" s="36" t="n">
        <f aca="false">(0)+(0)*256+(0)*65536+(0)*16777216</f>
        <v>0</v>
      </c>
      <c r="L49" s="36" t="n">
        <f aca="false">'📦 MD5 Constants'!C47</f>
        <v>76029189</v>
      </c>
      <c r="M49" s="36" t="n">
        <f aca="false">'📦 MD5 Constants'!H47</f>
        <v>23</v>
      </c>
      <c r="N49" s="36" t="n">
        <f aca="false">MOD(C48+J49+K49+'📦 MD5 Constants'!C47,4294967296)</f>
        <v>57277060</v>
      </c>
      <c r="O49" s="36" t="n">
        <f aca="false">MOD(MOD(N49,2^9)*2^23+INT(N49/2^9),4294967296)</f>
        <v>1107408125</v>
      </c>
      <c r="P49" s="41" t="n">
        <f aca="false">D49</f>
        <v>3711356584</v>
      </c>
      <c r="Q49" s="34" t="s">
        <v>182</v>
      </c>
    </row>
    <row r="50" customFormat="false" ht="13.5" hidden="false" customHeight="true" outlineLevel="0" collapsed="false">
      <c r="B50" s="40" t="n">
        <v>45</v>
      </c>
      <c r="C50" s="41" t="n">
        <f aca="false">F49</f>
        <v>2185060929</v>
      </c>
      <c r="D50" s="41" t="n">
        <f aca="false">MOD(D49+O50,4294967296)</f>
        <v>486110007</v>
      </c>
      <c r="E50" s="41" t="n">
        <f aca="false">D49</f>
        <v>3711356584</v>
      </c>
      <c r="F50" s="41" t="n">
        <f aca="false">E49</f>
        <v>2603948459</v>
      </c>
      <c r="G50" s="36" t="n">
        <f aca="false">((MOD(INT(MOD(INT((D49)/1),256)/2^0),2)*MOD(INT(MOD(INT((E49)/1),256)/2^0),2)*1+MOD(INT(MOD(INT((D49)/1),256)/2^1),2)*MOD(INT(MOD(INT((E49)/1),256)/2^1),2)*2+MOD(INT(MOD(INT((D49)/1),256)/2^2),2)*MOD(INT(MOD(INT((E49)/1),256)/2^2),2)*4+MOD(INT(MOD(INT((D49)/1),256)/2^3),2)*MOD(INT(MOD(INT((E49)/1),256)/2^3),2)*8+MOD(INT(MOD(INT((D49)/1),256)/2^4),2)*MOD(INT(MOD(INT((E49)/1),256)/2^4),2)*16+MOD(INT(MOD(INT((D49)/1),256)/2^5),2)*MOD(INT(MOD(INT((E49)/1),256)/2^5),2)*32+MOD(INT(MOD(INT((D49)/1),256)/2^6),2)*MOD(INT(MOD(INT((E49)/1),256)/2^6),2)*64+MOD(INT(MOD(INT((D49)/1),256)/2^7),2)*MOD(INT(MOD(INT((E49)/1),256)/2^7),2)*128)*1+(MOD(INT(MOD(INT((D49)/256),256)/2^0),2)*MOD(INT(MOD(INT((E49)/256),256)/2^0),2)*1+MOD(INT(MOD(INT((D49)/256),256)/2^1),2)*MOD(INT(MOD(INT((E49)/256),256)/2^1),2)*2+MOD(INT(MOD(INT((D49)/256),256)/2^2),2)*MOD(INT(MOD(INT((E49)/256),256)/2^2),2)*4+MOD(INT(MOD(INT((D49)/256),256)/2^3),2)*MOD(INT(MOD(INT((E49)/256),256)/2^3),2)*8+MOD(INT(MOD(INT((D49)/256),256)/2^4),2)*MOD(INT(MOD(INT((E49)/256),256)/2^4),2)*16+MOD(INT(MOD(INT((D49)/256),256)/2^5),2)*MOD(INT(MOD(INT((E49)/256),256)/2^5),2)*32+MOD(INT(MOD(INT((D49)/256),256)/2^6),2)*MOD(INT(MOD(INT((E49)/256),256)/2^6),2)*64+MOD(INT(MOD(INT((D49)/256),256)/2^7),2)*MOD(INT(MOD(INT((E49)/256),256)/2^7),2)*128)*256+(MOD(INT(MOD(INT((D49)/65536),256)/2^0),2)*MOD(INT(MOD(INT((E49)/65536),256)/2^0),2)*1+MOD(INT(MOD(INT((D49)/65536),256)/2^1),2)*MOD(INT(MOD(INT((E49)/65536),256)/2^1),2)*2+MOD(INT(MOD(INT((D49)/65536),256)/2^2),2)*MOD(INT(MOD(INT((E49)/65536),256)/2^2),2)*4+MOD(INT(MOD(INT((D49)/65536),256)/2^3),2)*MOD(INT(MOD(INT((E49)/65536),256)/2^3),2)*8+MOD(INT(MOD(INT((D49)/65536),256)/2^4),2)*MOD(INT(MOD(INT((E49)/65536),256)/2^4),2)*16+MOD(INT(MOD(INT((D49)/65536),256)/2^5),2)*MOD(INT(MOD(INT((E49)/65536),256)/2^5),2)*32+MOD(INT(MOD(INT((D49)/65536),256)/2^6),2)*MOD(INT(MOD(INT((E49)/65536),256)/2^6),2)*64+MOD(INT(MOD(INT((D49)/65536),256)/2^7),2)*MOD(INT(MOD(INT((E49)/65536),256)/2^7),2)*128)*65536+(MOD(INT(MOD(INT((D49)/16777216),256)/2^0),2)*MOD(INT(MOD(INT((E49)/16777216),256)/2^0),2)*1+MOD(INT(MOD(INT((D49)/16777216),256)/2^1),2)*MOD(INT(MOD(INT((E49)/16777216),256)/2^1),2)*2+MOD(INT(MOD(INT((D49)/16777216),256)/2^2),2)*MOD(INT(MOD(INT((E49)/16777216),256)/2^2),2)*4+MOD(INT(MOD(INT((D49)/16777216),256)/2^3),2)*MOD(INT(MOD(INT((E49)/16777216),256)/2^3),2)*8+MOD(INT(MOD(INT((D49)/16777216),256)/2^4),2)*MOD(INT(MOD(INT((E49)/16777216),256)/2^4),2)*16+MOD(INT(MOD(INT((D49)/16777216),256)/2^5),2)*MOD(INT(MOD(INT((E49)/16777216),256)/2^5),2)*32+MOD(INT(MOD(INT((D49)/16777216),256)/2^6),2)*MOD(INT(MOD(INT((E49)/16777216),256)/2^6),2)*64+MOD(INT(MOD(INT((D49)/16777216),256)/2^7),2)*MOD(INT(MOD(INT((E49)/16777216),256)/2^7),2)*128)*16777216)</f>
        <v>2570324136</v>
      </c>
      <c r="H50" s="36" t="n">
        <f aca="false">MOD(D49+E49-2*G50,4294967296)</f>
        <v>1174656771</v>
      </c>
      <c r="I50" s="36" t="n">
        <f aca="false">((MOD(INT(MOD(INT((H50)/1),256)/2^0),2)*MOD(INT(MOD(INT((F49)/1),256)/2^0),2)*1+MOD(INT(MOD(INT((H50)/1),256)/2^1),2)*MOD(INT(MOD(INT((F49)/1),256)/2^1),2)*2+MOD(INT(MOD(INT((H50)/1),256)/2^2),2)*MOD(INT(MOD(INT((F49)/1),256)/2^2),2)*4+MOD(INT(MOD(INT((H50)/1),256)/2^3),2)*MOD(INT(MOD(INT((F49)/1),256)/2^3),2)*8+MOD(INT(MOD(INT((H50)/1),256)/2^4),2)*MOD(INT(MOD(INT((F49)/1),256)/2^4),2)*16+MOD(INT(MOD(INT((H50)/1),256)/2^5),2)*MOD(INT(MOD(INT((F49)/1),256)/2^5),2)*32+MOD(INT(MOD(INT((H50)/1),256)/2^6),2)*MOD(INT(MOD(INT((F49)/1),256)/2^6),2)*64+MOD(INT(MOD(INT((H50)/1),256)/2^7),2)*MOD(INT(MOD(INT((F49)/1),256)/2^7),2)*128)*1+(MOD(INT(MOD(INT((H50)/256),256)/2^0),2)*MOD(INT(MOD(INT((F49)/256),256)/2^0),2)*1+MOD(INT(MOD(INT((H50)/256),256)/2^1),2)*MOD(INT(MOD(INT((F49)/256),256)/2^1),2)*2+MOD(INT(MOD(INT((H50)/256),256)/2^2),2)*MOD(INT(MOD(INT((F49)/256),256)/2^2),2)*4+MOD(INT(MOD(INT((H50)/256),256)/2^3),2)*MOD(INT(MOD(INT((F49)/256),256)/2^3),2)*8+MOD(INT(MOD(INT((H50)/256),256)/2^4),2)*MOD(INT(MOD(INT((F49)/256),256)/2^4),2)*16+MOD(INT(MOD(INT((H50)/256),256)/2^5),2)*MOD(INT(MOD(INT((F49)/256),256)/2^5),2)*32+MOD(INT(MOD(INT((H50)/256),256)/2^6),2)*MOD(INT(MOD(INT((F49)/256),256)/2^6),2)*64+MOD(INT(MOD(INT((H50)/256),256)/2^7),2)*MOD(INT(MOD(INT((F49)/256),256)/2^7),2)*128)*256+(MOD(INT(MOD(INT((H50)/65536),256)/2^0),2)*MOD(INT(MOD(INT((F49)/65536),256)/2^0),2)*1+MOD(INT(MOD(INT((H50)/65536),256)/2^1),2)*MOD(INT(MOD(INT((F49)/65536),256)/2^1),2)*2+MOD(INT(MOD(INT((H50)/65536),256)/2^2),2)*MOD(INT(MOD(INT((F49)/65536),256)/2^2),2)*4+MOD(INT(MOD(INT((H50)/65536),256)/2^3),2)*MOD(INT(MOD(INT((F49)/65536),256)/2^3),2)*8+MOD(INT(MOD(INT((H50)/65536),256)/2^4),2)*MOD(INT(MOD(INT((F49)/65536),256)/2^4),2)*16+MOD(INT(MOD(INT((H50)/65536),256)/2^5),2)*MOD(INT(MOD(INT((F49)/65536),256)/2^5),2)*32+MOD(INT(MOD(INT((H50)/65536),256)/2^6),2)*MOD(INT(MOD(INT((F49)/65536),256)/2^6),2)*64+MOD(INT(MOD(INT((H50)/65536),256)/2^7),2)*MOD(INT(MOD(INT((F49)/65536),256)/2^7),2)*128)*65536+(MOD(INT(MOD(INT((H50)/16777216),256)/2^0),2)*MOD(INT(MOD(INT((F49)/16777216),256)/2^0),2)*1+MOD(INT(MOD(INT((H50)/16777216),256)/2^1),2)*MOD(INT(MOD(INT((F49)/16777216),256)/2^1),2)*2+MOD(INT(MOD(INT((H50)/16777216),256)/2^2),2)*MOD(INT(MOD(INT((F49)/16777216),256)/2^2),2)*4+MOD(INT(MOD(INT((H50)/16777216),256)/2^3),2)*MOD(INT(MOD(INT((F49)/16777216),256)/2^3),2)*8+MOD(INT(MOD(INT((H50)/16777216),256)/2^4),2)*MOD(INT(MOD(INT((F49)/16777216),256)/2^4),2)*16+MOD(INT(MOD(INT((H50)/16777216),256)/2^5),2)*MOD(INT(MOD(INT((F49)/16777216),256)/2^5),2)*32+MOD(INT(MOD(INT((H50)/16777216),256)/2^6),2)*MOD(INT(MOD(INT((F49)/16777216),256)/2^6),2)*64+MOD(INT(MOD(INT((H50)/16777216),256)/2^7),2)*MOD(INT(MOD(INT((F49)/16777216),256)/2^7),2)*128)*16777216)</f>
        <v>33636865</v>
      </c>
      <c r="J50" s="41" t="n">
        <f aca="false">MOD(H50+F49-2*I50,4294967296)</f>
        <v>3292443970</v>
      </c>
      <c r="K50" s="36" t="n">
        <f aca="false">(0)+(0)*256+(0)*65536+(0)*16777216</f>
        <v>0</v>
      </c>
      <c r="L50" s="36" t="n">
        <f aca="false">'📦 MD5 Constants'!C48</f>
        <v>3654602809</v>
      </c>
      <c r="M50" s="36" t="n">
        <f aca="false">'📦 MD5 Constants'!H48</f>
        <v>4</v>
      </c>
      <c r="N50" s="36" t="n">
        <f aca="false">MOD(C49+J50+K50+'📦 MD5 Constants'!C48,4294967296)</f>
        <v>4093389384</v>
      </c>
      <c r="O50" s="36" t="n">
        <f aca="false">MOD(MOD(N50,2^28)*2^4+INT(N50/2^28),4294967296)</f>
        <v>1069720719</v>
      </c>
      <c r="P50" s="41" t="n">
        <f aca="false">D50</f>
        <v>486110007</v>
      </c>
      <c r="Q50" s="34" t="s">
        <v>183</v>
      </c>
    </row>
    <row r="51" customFormat="false" ht="13.5" hidden="false" customHeight="true" outlineLevel="0" collapsed="false">
      <c r="B51" s="40" t="n">
        <v>46</v>
      </c>
      <c r="C51" s="41" t="n">
        <f aca="false">F50</f>
        <v>2603948459</v>
      </c>
      <c r="D51" s="41" t="n">
        <f aca="false">MOD(D50+O51,4294967296)</f>
        <v>3120318807</v>
      </c>
      <c r="E51" s="41" t="n">
        <f aca="false">D50</f>
        <v>486110007</v>
      </c>
      <c r="F51" s="41" t="n">
        <f aca="false">E50</f>
        <v>3711356584</v>
      </c>
      <c r="G51" s="36" t="n">
        <f aca="false">((MOD(INT(MOD(INT((D50)/1),256)/2^0),2)*MOD(INT(MOD(INT((E50)/1),256)/2^0),2)*1+MOD(INT(MOD(INT((D50)/1),256)/2^1),2)*MOD(INT(MOD(INT((E50)/1),256)/2^1),2)*2+MOD(INT(MOD(INT((D50)/1),256)/2^2),2)*MOD(INT(MOD(INT((E50)/1),256)/2^2),2)*4+MOD(INT(MOD(INT((D50)/1),256)/2^3),2)*MOD(INT(MOD(INT((E50)/1),256)/2^3),2)*8+MOD(INT(MOD(INT((D50)/1),256)/2^4),2)*MOD(INT(MOD(INT((E50)/1),256)/2^4),2)*16+MOD(INT(MOD(INT((D50)/1),256)/2^5),2)*MOD(INT(MOD(INT((E50)/1),256)/2^5),2)*32+MOD(INT(MOD(INT((D50)/1),256)/2^6),2)*MOD(INT(MOD(INT((E50)/1),256)/2^6),2)*64+MOD(INT(MOD(INT((D50)/1),256)/2^7),2)*MOD(INT(MOD(INT((E50)/1),256)/2^7),2)*128)*1+(MOD(INT(MOD(INT((D50)/256),256)/2^0),2)*MOD(INT(MOD(INT((E50)/256),256)/2^0),2)*1+MOD(INT(MOD(INT((D50)/256),256)/2^1),2)*MOD(INT(MOD(INT((E50)/256),256)/2^1),2)*2+MOD(INT(MOD(INT((D50)/256),256)/2^2),2)*MOD(INT(MOD(INT((E50)/256),256)/2^2),2)*4+MOD(INT(MOD(INT((D50)/256),256)/2^3),2)*MOD(INT(MOD(INT((E50)/256),256)/2^3),2)*8+MOD(INT(MOD(INT((D50)/256),256)/2^4),2)*MOD(INT(MOD(INT((E50)/256),256)/2^4),2)*16+MOD(INT(MOD(INT((D50)/256),256)/2^5),2)*MOD(INT(MOD(INT((E50)/256),256)/2^5),2)*32+MOD(INT(MOD(INT((D50)/256),256)/2^6),2)*MOD(INT(MOD(INT((E50)/256),256)/2^6),2)*64+MOD(INT(MOD(INT((D50)/256),256)/2^7),2)*MOD(INT(MOD(INT((E50)/256),256)/2^7),2)*128)*256+(MOD(INT(MOD(INT((D50)/65536),256)/2^0),2)*MOD(INT(MOD(INT((E50)/65536),256)/2^0),2)*1+MOD(INT(MOD(INT((D50)/65536),256)/2^1),2)*MOD(INT(MOD(INT((E50)/65536),256)/2^1),2)*2+MOD(INT(MOD(INT((D50)/65536),256)/2^2),2)*MOD(INT(MOD(INT((E50)/65536),256)/2^2),2)*4+MOD(INT(MOD(INT((D50)/65536),256)/2^3),2)*MOD(INT(MOD(INT((E50)/65536),256)/2^3),2)*8+MOD(INT(MOD(INT((D50)/65536),256)/2^4),2)*MOD(INT(MOD(INT((E50)/65536),256)/2^4),2)*16+MOD(INT(MOD(INT((D50)/65536),256)/2^5),2)*MOD(INT(MOD(INT((E50)/65536),256)/2^5),2)*32+MOD(INT(MOD(INT((D50)/65536),256)/2^6),2)*MOD(INT(MOD(INT((E50)/65536),256)/2^6),2)*64+MOD(INT(MOD(INT((D50)/65536),256)/2^7),2)*MOD(INT(MOD(INT((E50)/65536),256)/2^7),2)*128)*65536+(MOD(INT(MOD(INT((D50)/16777216),256)/2^0),2)*MOD(INT(MOD(INT((E50)/16777216),256)/2^0),2)*1+MOD(INT(MOD(INT((D50)/16777216),256)/2^1),2)*MOD(INT(MOD(INT((E50)/16777216),256)/2^1),2)*2+MOD(INT(MOD(INT((D50)/16777216),256)/2^2),2)*MOD(INT(MOD(INT((E50)/16777216),256)/2^2),2)*4+MOD(INT(MOD(INT((D50)/16777216),256)/2^3),2)*MOD(INT(MOD(INT((E50)/16777216),256)/2^3),2)*8+MOD(INT(MOD(INT((D50)/16777216),256)/2^4),2)*MOD(INT(MOD(INT((E50)/16777216),256)/2^4),2)*16+MOD(INT(MOD(INT((D50)/16777216),256)/2^5),2)*MOD(INT(MOD(INT((E50)/16777216),256)/2^5),2)*32+MOD(INT(MOD(INT((D50)/16777216),256)/2^6),2)*MOD(INT(MOD(INT((E50)/16777216),256)/2^6),2)*64+MOD(INT(MOD(INT((D50)/16777216),256)/2^7),2)*MOD(INT(MOD(INT((E50)/16777216),256)/2^7),2)*128)*16777216)</f>
        <v>472924704</v>
      </c>
      <c r="H51" s="36" t="n">
        <f aca="false">MOD(D50+E50-2*G51,4294967296)</f>
        <v>3251617183</v>
      </c>
      <c r="I51" s="36" t="n">
        <f aca="false">((MOD(INT(MOD(INT((H51)/1),256)/2^0),2)*MOD(INT(MOD(INT((F50)/1),256)/2^0),2)*1+MOD(INT(MOD(INT((H51)/1),256)/2^1),2)*MOD(INT(MOD(INT((F50)/1),256)/2^1),2)*2+MOD(INT(MOD(INT((H51)/1),256)/2^2),2)*MOD(INT(MOD(INT((F50)/1),256)/2^2),2)*4+MOD(INT(MOD(INT((H51)/1),256)/2^3),2)*MOD(INT(MOD(INT((F50)/1),256)/2^3),2)*8+MOD(INT(MOD(INT((H51)/1),256)/2^4),2)*MOD(INT(MOD(INT((F50)/1),256)/2^4),2)*16+MOD(INT(MOD(INT((H51)/1),256)/2^5),2)*MOD(INT(MOD(INT((F50)/1),256)/2^5),2)*32+MOD(INT(MOD(INT((H51)/1),256)/2^6),2)*MOD(INT(MOD(INT((F50)/1),256)/2^6),2)*64+MOD(INT(MOD(INT((H51)/1),256)/2^7),2)*MOD(INT(MOD(INT((F50)/1),256)/2^7),2)*128)*1+(MOD(INT(MOD(INT((H51)/256),256)/2^0),2)*MOD(INT(MOD(INT((F50)/256),256)/2^0),2)*1+MOD(INT(MOD(INT((H51)/256),256)/2^1),2)*MOD(INT(MOD(INT((F50)/256),256)/2^1),2)*2+MOD(INT(MOD(INT((H51)/256),256)/2^2),2)*MOD(INT(MOD(INT((F50)/256),256)/2^2),2)*4+MOD(INT(MOD(INT((H51)/256),256)/2^3),2)*MOD(INT(MOD(INT((F50)/256),256)/2^3),2)*8+MOD(INT(MOD(INT((H51)/256),256)/2^4),2)*MOD(INT(MOD(INT((F50)/256),256)/2^4),2)*16+MOD(INT(MOD(INT((H51)/256),256)/2^5),2)*MOD(INT(MOD(INT((F50)/256),256)/2^5),2)*32+MOD(INT(MOD(INT((H51)/256),256)/2^6),2)*MOD(INT(MOD(INT((F50)/256),256)/2^6),2)*64+MOD(INT(MOD(INT((H51)/256),256)/2^7),2)*MOD(INT(MOD(INT((F50)/256),256)/2^7),2)*128)*256+(MOD(INT(MOD(INT((H51)/65536),256)/2^0),2)*MOD(INT(MOD(INT((F50)/65536),256)/2^0),2)*1+MOD(INT(MOD(INT((H51)/65536),256)/2^1),2)*MOD(INT(MOD(INT((F50)/65536),256)/2^1),2)*2+MOD(INT(MOD(INT((H51)/65536),256)/2^2),2)*MOD(INT(MOD(INT((F50)/65536),256)/2^2),2)*4+MOD(INT(MOD(INT((H51)/65536),256)/2^3),2)*MOD(INT(MOD(INT((F50)/65536),256)/2^3),2)*8+MOD(INT(MOD(INT((H51)/65536),256)/2^4),2)*MOD(INT(MOD(INT((F50)/65536),256)/2^4),2)*16+MOD(INT(MOD(INT((H51)/65536),256)/2^5),2)*MOD(INT(MOD(INT((F50)/65536),256)/2^5),2)*32+MOD(INT(MOD(INT((H51)/65536),256)/2^6),2)*MOD(INT(MOD(INT((F50)/65536),256)/2^6),2)*64+MOD(INT(MOD(INT((H51)/65536),256)/2^7),2)*MOD(INT(MOD(INT((F50)/65536),256)/2^7),2)*128)*65536+(MOD(INT(MOD(INT((H51)/16777216),256)/2^0),2)*MOD(INT(MOD(INT((F50)/16777216),256)/2^0),2)*1+MOD(INT(MOD(INT((H51)/16777216),256)/2^1),2)*MOD(INT(MOD(INT((F50)/16777216),256)/2^1),2)*2+MOD(INT(MOD(INT((H51)/16777216),256)/2^2),2)*MOD(INT(MOD(INT((F50)/16777216),256)/2^2),2)*4+MOD(INT(MOD(INT((H51)/16777216),256)/2^3),2)*MOD(INT(MOD(INT((F50)/16777216),256)/2^3),2)*8+MOD(INT(MOD(INT((H51)/16777216),256)/2^4),2)*MOD(INT(MOD(INT((F50)/16777216),256)/2^4),2)*16+MOD(INT(MOD(INT((H51)/16777216),256)/2^5),2)*MOD(INT(MOD(INT((F50)/16777216),256)/2^5),2)*32+MOD(INT(MOD(INT((H51)/16777216),256)/2^6),2)*MOD(INT(MOD(INT((F50)/16777216),256)/2^6),2)*64+MOD(INT(MOD(INT((H51)/16777216),256)/2^7),2)*MOD(INT(MOD(INT((F50)/16777216),256)/2^7),2)*128)*16777216)</f>
        <v>2164595083</v>
      </c>
      <c r="J51" s="41" t="n">
        <f aca="false">MOD(H51+F50-2*I51,4294967296)</f>
        <v>1526375476</v>
      </c>
      <c r="K51" s="36" t="n">
        <f aca="false">(0)+(0)*256+(0)*65536+(0)*16777216</f>
        <v>0</v>
      </c>
      <c r="L51" s="36" t="n">
        <f aca="false">'📦 MD5 Constants'!C49</f>
        <v>3873151461</v>
      </c>
      <c r="M51" s="36" t="n">
        <f aca="false">'📦 MD5 Constants'!H49</f>
        <v>11</v>
      </c>
      <c r="N51" s="36" t="n">
        <f aca="false">MOD(C50+J51+K51+'📦 MD5 Constants'!C49,4294967296)</f>
        <v>3289620570</v>
      </c>
      <c r="O51" s="36" t="n">
        <f aca="false">MOD(MOD(N51,2^21)*2^11+INT(N51/2^21),4294967296)</f>
        <v>2634208800</v>
      </c>
      <c r="P51" s="41" t="n">
        <f aca="false">D51</f>
        <v>3120318807</v>
      </c>
      <c r="Q51" s="34" t="s">
        <v>184</v>
      </c>
    </row>
    <row r="52" customFormat="false" ht="13.5" hidden="false" customHeight="true" outlineLevel="0" collapsed="false">
      <c r="B52" s="40" t="n">
        <v>47</v>
      </c>
      <c r="C52" s="41" t="n">
        <f aca="false">F51</f>
        <v>3711356584</v>
      </c>
      <c r="D52" s="41" t="n">
        <f aca="false">MOD(D51+O52,4294967296)</f>
        <v>1164409954</v>
      </c>
      <c r="E52" s="41" t="n">
        <f aca="false">D51</f>
        <v>3120318807</v>
      </c>
      <c r="F52" s="41" t="n">
        <f aca="false">E51</f>
        <v>486110007</v>
      </c>
      <c r="G52" s="36" t="n">
        <f aca="false">((MOD(INT(MOD(INT((D51)/1),256)/2^0),2)*MOD(INT(MOD(INT((E51)/1),256)/2^0),2)*1+MOD(INT(MOD(INT((D51)/1),256)/2^1),2)*MOD(INT(MOD(INT((E51)/1),256)/2^1),2)*2+MOD(INT(MOD(INT((D51)/1),256)/2^2),2)*MOD(INT(MOD(INT((E51)/1),256)/2^2),2)*4+MOD(INT(MOD(INT((D51)/1),256)/2^3),2)*MOD(INT(MOD(INT((E51)/1),256)/2^3),2)*8+MOD(INT(MOD(INT((D51)/1),256)/2^4),2)*MOD(INT(MOD(INT((E51)/1),256)/2^4),2)*16+MOD(INT(MOD(INT((D51)/1),256)/2^5),2)*MOD(INT(MOD(INT((E51)/1),256)/2^5),2)*32+MOD(INT(MOD(INT((D51)/1),256)/2^6),2)*MOD(INT(MOD(INT((E51)/1),256)/2^6),2)*64+MOD(INT(MOD(INT((D51)/1),256)/2^7),2)*MOD(INT(MOD(INT((E51)/1),256)/2^7),2)*128)*1+(MOD(INT(MOD(INT((D51)/256),256)/2^0),2)*MOD(INT(MOD(INT((E51)/256),256)/2^0),2)*1+MOD(INT(MOD(INT((D51)/256),256)/2^1),2)*MOD(INT(MOD(INT((E51)/256),256)/2^1),2)*2+MOD(INT(MOD(INT((D51)/256),256)/2^2),2)*MOD(INT(MOD(INT((E51)/256),256)/2^2),2)*4+MOD(INT(MOD(INT((D51)/256),256)/2^3),2)*MOD(INT(MOD(INT((E51)/256),256)/2^3),2)*8+MOD(INT(MOD(INT((D51)/256),256)/2^4),2)*MOD(INT(MOD(INT((E51)/256),256)/2^4),2)*16+MOD(INT(MOD(INT((D51)/256),256)/2^5),2)*MOD(INT(MOD(INT((E51)/256),256)/2^5),2)*32+MOD(INT(MOD(INT((D51)/256),256)/2^6),2)*MOD(INT(MOD(INT((E51)/256),256)/2^6),2)*64+MOD(INT(MOD(INT((D51)/256),256)/2^7),2)*MOD(INT(MOD(INT((E51)/256),256)/2^7),2)*128)*256+(MOD(INT(MOD(INT((D51)/65536),256)/2^0),2)*MOD(INT(MOD(INT((E51)/65536),256)/2^0),2)*1+MOD(INT(MOD(INT((D51)/65536),256)/2^1),2)*MOD(INT(MOD(INT((E51)/65536),256)/2^1),2)*2+MOD(INT(MOD(INT((D51)/65536),256)/2^2),2)*MOD(INT(MOD(INT((E51)/65536),256)/2^2),2)*4+MOD(INT(MOD(INT((D51)/65536),256)/2^3),2)*MOD(INT(MOD(INT((E51)/65536),256)/2^3),2)*8+MOD(INT(MOD(INT((D51)/65536),256)/2^4),2)*MOD(INT(MOD(INT((E51)/65536),256)/2^4),2)*16+MOD(INT(MOD(INT((D51)/65536),256)/2^5),2)*MOD(INT(MOD(INT((E51)/65536),256)/2^5),2)*32+MOD(INT(MOD(INT((D51)/65536),256)/2^6),2)*MOD(INT(MOD(INT((E51)/65536),256)/2^6),2)*64+MOD(INT(MOD(INT((D51)/65536),256)/2^7),2)*MOD(INT(MOD(INT((E51)/65536),256)/2^7),2)*128)*65536+(MOD(INT(MOD(INT((D51)/16777216),256)/2^0),2)*MOD(INT(MOD(INT((E51)/16777216),256)/2^0),2)*1+MOD(INT(MOD(INT((D51)/16777216),256)/2^1),2)*MOD(INT(MOD(INT((E51)/16777216),256)/2^1),2)*2+MOD(INT(MOD(INT((D51)/16777216),256)/2^2),2)*MOD(INT(MOD(INT((E51)/16777216),256)/2^2),2)*4+MOD(INT(MOD(INT((D51)/16777216),256)/2^3),2)*MOD(INT(MOD(INT((E51)/16777216),256)/2^3),2)*8+MOD(INT(MOD(INT((D51)/16777216),256)/2^4),2)*MOD(INT(MOD(INT((E51)/16777216),256)/2^4),2)*16+MOD(INT(MOD(INT((D51)/16777216),256)/2^5),2)*MOD(INT(MOD(INT((E51)/16777216),256)/2^5),2)*32+MOD(INT(MOD(INT((D51)/16777216),256)/2^6),2)*MOD(INT(MOD(INT((E51)/16777216),256)/2^6),2)*64+MOD(INT(MOD(INT((D51)/16777216),256)/2^7),2)*MOD(INT(MOD(INT((E51)/16777216),256)/2^7),2)*128)*16777216)</f>
        <v>418922775</v>
      </c>
      <c r="H52" s="36" t="n">
        <f aca="false">MOD(D51+E51-2*G52,4294967296)</f>
        <v>2768583264</v>
      </c>
      <c r="I52" s="36" t="n">
        <f aca="false">((MOD(INT(MOD(INT((H52)/1),256)/2^0),2)*MOD(INT(MOD(INT((F51)/1),256)/2^0),2)*1+MOD(INT(MOD(INT((H52)/1),256)/2^1),2)*MOD(INT(MOD(INT((F51)/1),256)/2^1),2)*2+MOD(INT(MOD(INT((H52)/1),256)/2^2),2)*MOD(INT(MOD(INT((F51)/1),256)/2^2),2)*4+MOD(INT(MOD(INT((H52)/1),256)/2^3),2)*MOD(INT(MOD(INT((F51)/1),256)/2^3),2)*8+MOD(INT(MOD(INT((H52)/1),256)/2^4),2)*MOD(INT(MOD(INT((F51)/1),256)/2^4),2)*16+MOD(INT(MOD(INT((H52)/1),256)/2^5),2)*MOD(INT(MOD(INT((F51)/1),256)/2^5),2)*32+MOD(INT(MOD(INT((H52)/1),256)/2^6),2)*MOD(INT(MOD(INT((F51)/1),256)/2^6),2)*64+MOD(INT(MOD(INT((H52)/1),256)/2^7),2)*MOD(INT(MOD(INT((F51)/1),256)/2^7),2)*128)*1+(MOD(INT(MOD(INT((H52)/256),256)/2^0),2)*MOD(INT(MOD(INT((F51)/256),256)/2^0),2)*1+MOD(INT(MOD(INT((H52)/256),256)/2^1),2)*MOD(INT(MOD(INT((F51)/256),256)/2^1),2)*2+MOD(INT(MOD(INT((H52)/256),256)/2^2),2)*MOD(INT(MOD(INT((F51)/256),256)/2^2),2)*4+MOD(INT(MOD(INT((H52)/256),256)/2^3),2)*MOD(INT(MOD(INT((F51)/256),256)/2^3),2)*8+MOD(INT(MOD(INT((H52)/256),256)/2^4),2)*MOD(INT(MOD(INT((F51)/256),256)/2^4),2)*16+MOD(INT(MOD(INT((H52)/256),256)/2^5),2)*MOD(INT(MOD(INT((F51)/256),256)/2^5),2)*32+MOD(INT(MOD(INT((H52)/256),256)/2^6),2)*MOD(INT(MOD(INT((F51)/256),256)/2^6),2)*64+MOD(INT(MOD(INT((H52)/256),256)/2^7),2)*MOD(INT(MOD(INT((F51)/256),256)/2^7),2)*128)*256+(MOD(INT(MOD(INT((H52)/65536),256)/2^0),2)*MOD(INT(MOD(INT((F51)/65536),256)/2^0),2)*1+MOD(INT(MOD(INT((H52)/65536),256)/2^1),2)*MOD(INT(MOD(INT((F51)/65536),256)/2^1),2)*2+MOD(INT(MOD(INT((H52)/65536),256)/2^2),2)*MOD(INT(MOD(INT((F51)/65536),256)/2^2),2)*4+MOD(INT(MOD(INT((H52)/65536),256)/2^3),2)*MOD(INT(MOD(INT((F51)/65536),256)/2^3),2)*8+MOD(INT(MOD(INT((H52)/65536),256)/2^4),2)*MOD(INT(MOD(INT((F51)/65536),256)/2^4),2)*16+MOD(INT(MOD(INT((H52)/65536),256)/2^5),2)*MOD(INT(MOD(INT((F51)/65536),256)/2^5),2)*32+MOD(INT(MOD(INT((H52)/65536),256)/2^6),2)*MOD(INT(MOD(INT((F51)/65536),256)/2^6),2)*64+MOD(INT(MOD(INT((H52)/65536),256)/2^7),2)*MOD(INT(MOD(INT((F51)/65536),256)/2^7),2)*128)*65536+(MOD(INT(MOD(INT((H52)/16777216),256)/2^0),2)*MOD(INT(MOD(INT((F51)/16777216),256)/2^0),2)*1+MOD(INT(MOD(INT((H52)/16777216),256)/2^1),2)*MOD(INT(MOD(INT((F51)/16777216),256)/2^1),2)*2+MOD(INT(MOD(INT((H52)/16777216),256)/2^2),2)*MOD(INT(MOD(INT((F51)/16777216),256)/2^2),2)*4+MOD(INT(MOD(INT((H52)/16777216),256)/2^3),2)*MOD(INT(MOD(INT((F51)/16777216),256)/2^3),2)*8+MOD(INT(MOD(INT((H52)/16777216),256)/2^4),2)*MOD(INT(MOD(INT((F51)/16777216),256)/2^4),2)*16+MOD(INT(MOD(INT((H52)/16777216),256)/2^5),2)*MOD(INT(MOD(INT((F51)/16777216),256)/2^5),2)*32+MOD(INT(MOD(INT((H52)/16777216),256)/2^6),2)*MOD(INT(MOD(INT((F51)/16777216),256)/2^6),2)*64+MOD(INT(MOD(INT((H52)/16777216),256)/2^7),2)*MOD(INT(MOD(INT((F51)/16777216),256)/2^7),2)*128)*16777216)</f>
        <v>2231634464</v>
      </c>
      <c r="J52" s="41" t="n">
        <f aca="false">MOD(H52+F51-2*I52,4294967296)</f>
        <v>2016670920</v>
      </c>
      <c r="K52" s="36" t="n">
        <f aca="false">(0)+(0)*256+(0)*65536+(0)*16777216</f>
        <v>0</v>
      </c>
      <c r="L52" s="36" t="n">
        <f aca="false">'📦 MD5 Constants'!C50</f>
        <v>530742520</v>
      </c>
      <c r="M52" s="36" t="n">
        <f aca="false">'📦 MD5 Constants'!H50</f>
        <v>16</v>
      </c>
      <c r="N52" s="36" t="n">
        <f aca="false">MOD(C51+J52+K52+'📦 MD5 Constants'!C50,4294967296)</f>
        <v>856394603</v>
      </c>
      <c r="O52" s="36" t="n">
        <f aca="false">MOD(MOD(N52,2^16)*2^16+INT(N52/2^16),4294967296)</f>
        <v>2339058443</v>
      </c>
      <c r="P52" s="41" t="n">
        <f aca="false">D52</f>
        <v>1164409954</v>
      </c>
      <c r="Q52" s="34" t="s">
        <v>185</v>
      </c>
    </row>
    <row r="53" customFormat="false" ht="13.5" hidden="false" customHeight="true" outlineLevel="0" collapsed="false">
      <c r="B53" s="40" t="n">
        <v>48</v>
      </c>
      <c r="C53" s="41" t="n">
        <f aca="false">F52</f>
        <v>486110007</v>
      </c>
      <c r="D53" s="41" t="n">
        <f aca="false">MOD(D52+O53,4294967296)</f>
        <v>3441991447</v>
      </c>
      <c r="E53" s="41" t="n">
        <f aca="false">D52</f>
        <v>1164409954</v>
      </c>
      <c r="F53" s="41" t="n">
        <f aca="false">E52</f>
        <v>3120318807</v>
      </c>
      <c r="G53" s="36" t="n">
        <f aca="false">((MOD(INT(MOD(INT((D52)/1),256)/2^0),2)*MOD(INT(MOD(INT((E52)/1),256)/2^0),2)*1+MOD(INT(MOD(INT((D52)/1),256)/2^1),2)*MOD(INT(MOD(INT((E52)/1),256)/2^1),2)*2+MOD(INT(MOD(INT((D52)/1),256)/2^2),2)*MOD(INT(MOD(INT((E52)/1),256)/2^2),2)*4+MOD(INT(MOD(INT((D52)/1),256)/2^3),2)*MOD(INT(MOD(INT((E52)/1),256)/2^3),2)*8+MOD(INT(MOD(INT((D52)/1),256)/2^4),2)*MOD(INT(MOD(INT((E52)/1),256)/2^4),2)*16+MOD(INT(MOD(INT((D52)/1),256)/2^5),2)*MOD(INT(MOD(INT((E52)/1),256)/2^5),2)*32+MOD(INT(MOD(INT((D52)/1),256)/2^6),2)*MOD(INT(MOD(INT((E52)/1),256)/2^6),2)*64+MOD(INT(MOD(INT((D52)/1),256)/2^7),2)*MOD(INT(MOD(INT((E52)/1),256)/2^7),2)*128)*1+(MOD(INT(MOD(INT((D52)/256),256)/2^0),2)*MOD(INT(MOD(INT((E52)/256),256)/2^0),2)*1+MOD(INT(MOD(INT((D52)/256),256)/2^1),2)*MOD(INT(MOD(INT((E52)/256),256)/2^1),2)*2+MOD(INT(MOD(INT((D52)/256),256)/2^2),2)*MOD(INT(MOD(INT((E52)/256),256)/2^2),2)*4+MOD(INT(MOD(INT((D52)/256),256)/2^3),2)*MOD(INT(MOD(INT((E52)/256),256)/2^3),2)*8+MOD(INT(MOD(INT((D52)/256),256)/2^4),2)*MOD(INT(MOD(INT((E52)/256),256)/2^4),2)*16+MOD(INT(MOD(INT((D52)/256),256)/2^5),2)*MOD(INT(MOD(INT((E52)/256),256)/2^5),2)*32+MOD(INT(MOD(INT((D52)/256),256)/2^6),2)*MOD(INT(MOD(INT((E52)/256),256)/2^6),2)*64+MOD(INT(MOD(INT((D52)/256),256)/2^7),2)*MOD(INT(MOD(INT((E52)/256),256)/2^7),2)*128)*256+(MOD(INT(MOD(INT((D52)/65536),256)/2^0),2)*MOD(INT(MOD(INT((E52)/65536),256)/2^0),2)*1+MOD(INT(MOD(INT((D52)/65536),256)/2^1),2)*MOD(INT(MOD(INT((E52)/65536),256)/2^1),2)*2+MOD(INT(MOD(INT((D52)/65536),256)/2^2),2)*MOD(INT(MOD(INT((E52)/65536),256)/2^2),2)*4+MOD(INT(MOD(INT((D52)/65536),256)/2^3),2)*MOD(INT(MOD(INT((E52)/65536),256)/2^3),2)*8+MOD(INT(MOD(INT((D52)/65536),256)/2^4),2)*MOD(INT(MOD(INT((E52)/65536),256)/2^4),2)*16+MOD(INT(MOD(INT((D52)/65536),256)/2^5),2)*MOD(INT(MOD(INT((E52)/65536),256)/2^5),2)*32+MOD(INT(MOD(INT((D52)/65536),256)/2^6),2)*MOD(INT(MOD(INT((E52)/65536),256)/2^6),2)*64+MOD(INT(MOD(INT((D52)/65536),256)/2^7),2)*MOD(INT(MOD(INT((E52)/65536),256)/2^7),2)*128)*65536+(MOD(INT(MOD(INT((D52)/16777216),256)/2^0),2)*MOD(INT(MOD(INT((E52)/16777216),256)/2^0),2)*1+MOD(INT(MOD(INT((D52)/16777216),256)/2^1),2)*MOD(INT(MOD(INT((E52)/16777216),256)/2^1),2)*2+MOD(INT(MOD(INT((D52)/16777216),256)/2^2),2)*MOD(INT(MOD(INT((E52)/16777216),256)/2^2),2)*4+MOD(INT(MOD(INT((D52)/16777216),256)/2^3),2)*MOD(INT(MOD(INT((E52)/16777216),256)/2^3),2)*8+MOD(INT(MOD(INT((D52)/16777216),256)/2^4),2)*MOD(INT(MOD(INT((E52)/16777216),256)/2^4),2)*16+MOD(INT(MOD(INT((D52)/16777216),256)/2^5),2)*MOD(INT(MOD(INT((E52)/16777216),256)/2^5),2)*32+MOD(INT(MOD(INT((D52)/16777216),256)/2^6),2)*MOD(INT(MOD(INT((E52)/16777216),256)/2^6),2)*64+MOD(INT(MOD(INT((D52)/16777216),256)/2^7),2)*MOD(INT(MOD(INT((E52)/16777216),256)/2^7),2)*128)*16777216)</f>
        <v>23349314</v>
      </c>
      <c r="H53" s="36" t="n">
        <f aca="false">MOD(D52+E52-2*G53,4294967296)</f>
        <v>4238030133</v>
      </c>
      <c r="I53" s="36" t="n">
        <f aca="false">((MOD(INT(MOD(INT((H53)/1),256)/2^0),2)*MOD(INT(MOD(INT((F52)/1),256)/2^0),2)*1+MOD(INT(MOD(INT((H53)/1),256)/2^1),2)*MOD(INT(MOD(INT((F52)/1),256)/2^1),2)*2+MOD(INT(MOD(INT((H53)/1),256)/2^2),2)*MOD(INT(MOD(INT((F52)/1),256)/2^2),2)*4+MOD(INT(MOD(INT((H53)/1),256)/2^3),2)*MOD(INT(MOD(INT((F52)/1),256)/2^3),2)*8+MOD(INT(MOD(INT((H53)/1),256)/2^4),2)*MOD(INT(MOD(INT((F52)/1),256)/2^4),2)*16+MOD(INT(MOD(INT((H53)/1),256)/2^5),2)*MOD(INT(MOD(INT((F52)/1),256)/2^5),2)*32+MOD(INT(MOD(INT((H53)/1),256)/2^6),2)*MOD(INT(MOD(INT((F52)/1),256)/2^6),2)*64+MOD(INT(MOD(INT((H53)/1),256)/2^7),2)*MOD(INT(MOD(INT((F52)/1),256)/2^7),2)*128)*1+(MOD(INT(MOD(INT((H53)/256),256)/2^0),2)*MOD(INT(MOD(INT((F52)/256),256)/2^0),2)*1+MOD(INT(MOD(INT((H53)/256),256)/2^1),2)*MOD(INT(MOD(INT((F52)/256),256)/2^1),2)*2+MOD(INT(MOD(INT((H53)/256),256)/2^2),2)*MOD(INT(MOD(INT((F52)/256),256)/2^2),2)*4+MOD(INT(MOD(INT((H53)/256),256)/2^3),2)*MOD(INT(MOD(INT((F52)/256),256)/2^3),2)*8+MOD(INT(MOD(INT((H53)/256),256)/2^4),2)*MOD(INT(MOD(INT((F52)/256),256)/2^4),2)*16+MOD(INT(MOD(INT((H53)/256),256)/2^5),2)*MOD(INT(MOD(INT((F52)/256),256)/2^5),2)*32+MOD(INT(MOD(INT((H53)/256),256)/2^6),2)*MOD(INT(MOD(INT((F52)/256),256)/2^6),2)*64+MOD(INT(MOD(INT((H53)/256),256)/2^7),2)*MOD(INT(MOD(INT((F52)/256),256)/2^7),2)*128)*256+(MOD(INT(MOD(INT((H53)/65536),256)/2^0),2)*MOD(INT(MOD(INT((F52)/65536),256)/2^0),2)*1+MOD(INT(MOD(INT((H53)/65536),256)/2^1),2)*MOD(INT(MOD(INT((F52)/65536),256)/2^1),2)*2+MOD(INT(MOD(INT((H53)/65536),256)/2^2),2)*MOD(INT(MOD(INT((F52)/65536),256)/2^2),2)*4+MOD(INT(MOD(INT((H53)/65536),256)/2^3),2)*MOD(INT(MOD(INT((F52)/65536),256)/2^3),2)*8+MOD(INT(MOD(INT((H53)/65536),256)/2^4),2)*MOD(INT(MOD(INT((F52)/65536),256)/2^4),2)*16+MOD(INT(MOD(INT((H53)/65536),256)/2^5),2)*MOD(INT(MOD(INT((F52)/65536),256)/2^5),2)*32+MOD(INT(MOD(INT((H53)/65536),256)/2^6),2)*MOD(INT(MOD(INT((F52)/65536),256)/2^6),2)*64+MOD(INT(MOD(INT((H53)/65536),256)/2^7),2)*MOD(INT(MOD(INT((F52)/65536),256)/2^7),2)*128)*65536+(MOD(INT(MOD(INT((H53)/16777216),256)/2^0),2)*MOD(INT(MOD(INT((F52)/16777216),256)/2^0),2)*1+MOD(INT(MOD(INT((H53)/16777216),256)/2^1),2)*MOD(INT(MOD(INT((F52)/16777216),256)/2^1),2)*2+MOD(INT(MOD(INT((H53)/16777216),256)/2^2),2)*MOD(INT(MOD(INT((F52)/16777216),256)/2^2),2)*4+MOD(INT(MOD(INT((H53)/16777216),256)/2^3),2)*MOD(INT(MOD(INT((F52)/16777216),256)/2^3),2)*8+MOD(INT(MOD(INT((H53)/16777216),256)/2^4),2)*MOD(INT(MOD(INT((F52)/16777216),256)/2^4),2)*16+MOD(INT(MOD(INT((H53)/16777216),256)/2^5),2)*MOD(INT(MOD(INT((F52)/16777216),256)/2^5),2)*32+MOD(INT(MOD(INT((H53)/16777216),256)/2^6),2)*MOD(INT(MOD(INT((F52)/16777216),256)/2^6),2)*64+MOD(INT(MOD(INT((H53)/16777216),256)/2^7),2)*MOD(INT(MOD(INT((F52)/16777216),256)/2^7),2)*128)*16777216)</f>
        <v>479801653</v>
      </c>
      <c r="J53" s="41" t="n">
        <f aca="false">MOD(H53+F52-2*I53,4294967296)</f>
        <v>3764536834</v>
      </c>
      <c r="K53" s="36" t="n">
        <f aca="false">(0)+(0)*256+(0)*65536+(0)*16777216</f>
        <v>0</v>
      </c>
      <c r="L53" s="36" t="n">
        <f aca="false">'📦 MD5 Constants'!C51</f>
        <v>3299628645</v>
      </c>
      <c r="M53" s="36" t="n">
        <f aca="false">'📦 MD5 Constants'!H51</f>
        <v>23</v>
      </c>
      <c r="N53" s="36" t="n">
        <f aca="false">MOD(C52+J53+K53+'📦 MD5 Constants'!C51,4294967296)</f>
        <v>2185587471</v>
      </c>
      <c r="O53" s="36" t="n">
        <f aca="false">MOD(MOD(N53,2^9)*2^23+INT(N53/2^9),4294967296)</f>
        <v>2277581493</v>
      </c>
      <c r="P53" s="41" t="n">
        <f aca="false">D53</f>
        <v>3441991447</v>
      </c>
      <c r="Q53" s="34" t="s">
        <v>186</v>
      </c>
    </row>
    <row r="54" customFormat="false" ht="13.5" hidden="false" customHeight="true" outlineLevel="0" collapsed="false">
      <c r="B54" s="42" t="n">
        <v>49</v>
      </c>
      <c r="C54" s="43" t="n">
        <f aca="false">F53</f>
        <v>3120318807</v>
      </c>
      <c r="D54" s="43" t="n">
        <f aca="false">MOD(D53+O54,4294967296)</f>
        <v>3289927448</v>
      </c>
      <c r="E54" s="43" t="n">
        <f aca="false">D53</f>
        <v>3441991447</v>
      </c>
      <c r="F54" s="43" t="n">
        <f aca="false">E53</f>
        <v>1164409954</v>
      </c>
      <c r="G54" s="36" t="n">
        <f aca="false">((MOD(INT(MOD(INT((D53)/1),256)/2^0),2)*MOD(INT(MOD(INT(((4294967295-F53))/1),256)/2^0),2)*1+MOD(INT(MOD(INT((D53)/1),256)/2^1),2)*MOD(INT(MOD(INT(((4294967295-F53))/1),256)/2^1),2)*2+MOD(INT(MOD(INT((D53)/1),256)/2^2),2)*MOD(INT(MOD(INT(((4294967295-F53))/1),256)/2^2),2)*4+MOD(INT(MOD(INT((D53)/1),256)/2^3),2)*MOD(INT(MOD(INT(((4294967295-F53))/1),256)/2^3),2)*8+MOD(INT(MOD(INT((D53)/1),256)/2^4),2)*MOD(INT(MOD(INT(((4294967295-F53))/1),256)/2^4),2)*16+MOD(INT(MOD(INT((D53)/1),256)/2^5),2)*MOD(INT(MOD(INT(((4294967295-F53))/1),256)/2^5),2)*32+MOD(INT(MOD(INT((D53)/1),256)/2^6),2)*MOD(INT(MOD(INT(((4294967295-F53))/1),256)/2^6),2)*64+MOD(INT(MOD(INT((D53)/1),256)/2^7),2)*MOD(INT(MOD(INT(((4294967295-F53))/1),256)/2^7),2)*128)*1+(MOD(INT(MOD(INT((D53)/256),256)/2^0),2)*MOD(INT(MOD(INT(((4294967295-F53))/256),256)/2^0),2)*1+MOD(INT(MOD(INT((D53)/256),256)/2^1),2)*MOD(INT(MOD(INT(((4294967295-F53))/256),256)/2^1),2)*2+MOD(INT(MOD(INT((D53)/256),256)/2^2),2)*MOD(INT(MOD(INT(((4294967295-F53))/256),256)/2^2),2)*4+MOD(INT(MOD(INT((D53)/256),256)/2^3),2)*MOD(INT(MOD(INT(((4294967295-F53))/256),256)/2^3),2)*8+MOD(INT(MOD(INT((D53)/256),256)/2^4),2)*MOD(INT(MOD(INT(((4294967295-F53))/256),256)/2^4),2)*16+MOD(INT(MOD(INT((D53)/256),256)/2^5),2)*MOD(INT(MOD(INT(((4294967295-F53))/256),256)/2^5),2)*32+MOD(INT(MOD(INT((D53)/256),256)/2^6),2)*MOD(INT(MOD(INT(((4294967295-F53))/256),256)/2^6),2)*64+MOD(INT(MOD(INT((D53)/256),256)/2^7),2)*MOD(INT(MOD(INT(((4294967295-F53))/256),256)/2^7),2)*128)*256+(MOD(INT(MOD(INT((D53)/65536),256)/2^0),2)*MOD(INT(MOD(INT(((4294967295-F53))/65536),256)/2^0),2)*1+MOD(INT(MOD(INT((D53)/65536),256)/2^1),2)*MOD(INT(MOD(INT(((4294967295-F53))/65536),256)/2^1),2)*2+MOD(INT(MOD(INT((D53)/65536),256)/2^2),2)*MOD(INT(MOD(INT(((4294967295-F53))/65536),256)/2^2),2)*4+MOD(INT(MOD(INT((D53)/65536),256)/2^3),2)*MOD(INT(MOD(INT(((4294967295-F53))/65536),256)/2^3),2)*8+MOD(INT(MOD(INT((D53)/65536),256)/2^4),2)*MOD(INT(MOD(INT(((4294967295-F53))/65536),256)/2^4),2)*16+MOD(INT(MOD(INT((D53)/65536),256)/2^5),2)*MOD(INT(MOD(INT(((4294967295-F53))/65536),256)/2^5),2)*32+MOD(INT(MOD(INT((D53)/65536),256)/2^6),2)*MOD(INT(MOD(INT(((4294967295-F53))/65536),256)/2^6),2)*64+MOD(INT(MOD(INT((D53)/65536),256)/2^7),2)*MOD(INT(MOD(INT(((4294967295-F53))/65536),256)/2^7),2)*128)*65536+(MOD(INT(MOD(INT((D53)/16777216),256)/2^0),2)*MOD(INT(MOD(INT(((4294967295-F53))/16777216),256)/2^0),2)*1+MOD(INT(MOD(INT((D53)/16777216),256)/2^1),2)*MOD(INT(MOD(INT(((4294967295-F53))/16777216),256)/2^1),2)*2+MOD(INT(MOD(INT((D53)/16777216),256)/2^2),2)*MOD(INT(MOD(INT(((4294967295-F53))/16777216),256)/2^2),2)*4+MOD(INT(MOD(INT((D53)/16777216),256)/2^3),2)*MOD(INT(MOD(INT(((4294967295-F53))/16777216),256)/2^3),2)*8+MOD(INT(MOD(INT((D53)/16777216),256)/2^4),2)*MOD(INT(MOD(INT(((4294967295-F53))/16777216),256)/2^4),2)*16+MOD(INT(MOD(INT((D53)/16777216),256)/2^5),2)*MOD(INT(MOD(INT(((4294967295-F53))/16777216),256)/2^5),2)*32+MOD(INT(MOD(INT((D53)/16777216),256)/2^6),2)*MOD(INT(MOD(INT(((4294967295-F53))/16777216),256)/2^6),2)*64+MOD(INT(MOD(INT((D53)/16777216),256)/2^7),2)*MOD(INT(MOD(INT(((4294967295-F53))/16777216),256)/2^7),2)*128)*16777216)</f>
        <v>1140889088</v>
      </c>
      <c r="H54" s="36" t="n">
        <f aca="false">MOD(D53+(4294967295-F53)-G54,4294967296)</f>
        <v>3475750847</v>
      </c>
      <c r="I54" s="36" t="n">
        <f aca="false">((MOD(INT(MOD(INT((E53)/1),256)/2^0),2)*MOD(INT(MOD(INT((H54)/1),256)/2^0),2)*1+MOD(INT(MOD(INT((E53)/1),256)/2^1),2)*MOD(INT(MOD(INT((H54)/1),256)/2^1),2)*2+MOD(INT(MOD(INT((E53)/1),256)/2^2),2)*MOD(INT(MOD(INT((H54)/1),256)/2^2),2)*4+MOD(INT(MOD(INT((E53)/1),256)/2^3),2)*MOD(INT(MOD(INT((H54)/1),256)/2^3),2)*8+MOD(INT(MOD(INT((E53)/1),256)/2^4),2)*MOD(INT(MOD(INT((H54)/1),256)/2^4),2)*16+MOD(INT(MOD(INT((E53)/1),256)/2^5),2)*MOD(INT(MOD(INT((H54)/1),256)/2^5),2)*32+MOD(INT(MOD(INT((E53)/1),256)/2^6),2)*MOD(INT(MOD(INT((H54)/1),256)/2^6),2)*64+MOD(INT(MOD(INT((E53)/1),256)/2^7),2)*MOD(INT(MOD(INT((H54)/1),256)/2^7),2)*128)*1+(MOD(INT(MOD(INT((E53)/256),256)/2^0),2)*MOD(INT(MOD(INT((H54)/256),256)/2^0),2)*1+MOD(INT(MOD(INT((E53)/256),256)/2^1),2)*MOD(INT(MOD(INT((H54)/256),256)/2^1),2)*2+MOD(INT(MOD(INT((E53)/256),256)/2^2),2)*MOD(INT(MOD(INT((H54)/256),256)/2^2),2)*4+MOD(INT(MOD(INT((E53)/256),256)/2^3),2)*MOD(INT(MOD(INT((H54)/256),256)/2^3),2)*8+MOD(INT(MOD(INT((E53)/256),256)/2^4),2)*MOD(INT(MOD(INT((H54)/256),256)/2^4),2)*16+MOD(INT(MOD(INT((E53)/256),256)/2^5),2)*MOD(INT(MOD(INT((H54)/256),256)/2^5),2)*32+MOD(INT(MOD(INT((E53)/256),256)/2^6),2)*MOD(INT(MOD(INT((H54)/256),256)/2^6),2)*64+MOD(INT(MOD(INT((E53)/256),256)/2^7),2)*MOD(INT(MOD(INT((H54)/256),256)/2^7),2)*128)*256+(MOD(INT(MOD(INT((E53)/65536),256)/2^0),2)*MOD(INT(MOD(INT((H54)/65536),256)/2^0),2)*1+MOD(INT(MOD(INT((E53)/65536),256)/2^1),2)*MOD(INT(MOD(INT((H54)/65536),256)/2^1),2)*2+MOD(INT(MOD(INT((E53)/65536),256)/2^2),2)*MOD(INT(MOD(INT((H54)/65536),256)/2^2),2)*4+MOD(INT(MOD(INT((E53)/65536),256)/2^3),2)*MOD(INT(MOD(INT((H54)/65536),256)/2^3),2)*8+MOD(INT(MOD(INT((E53)/65536),256)/2^4),2)*MOD(INT(MOD(INT((H54)/65536),256)/2^4),2)*16+MOD(INT(MOD(INT((E53)/65536),256)/2^5),2)*MOD(INT(MOD(INT((H54)/65536),256)/2^5),2)*32+MOD(INT(MOD(INT((E53)/65536),256)/2^6),2)*MOD(INT(MOD(INT((H54)/65536),256)/2^6),2)*64+MOD(INT(MOD(INT((E53)/65536),256)/2^7),2)*MOD(INT(MOD(INT((H54)/65536),256)/2^7),2)*128)*65536+(MOD(INT(MOD(INT((E53)/16777216),256)/2^0),2)*MOD(INT(MOD(INT((H54)/16777216),256)/2^0),2)*1+MOD(INT(MOD(INT((E53)/16777216),256)/2^1),2)*MOD(INT(MOD(INT((H54)/16777216),256)/2^1),2)*2+MOD(INT(MOD(INT((E53)/16777216),256)/2^2),2)*MOD(INT(MOD(INT((H54)/16777216),256)/2^2),2)*4+MOD(INT(MOD(INT((E53)/16777216),256)/2^3),2)*MOD(INT(MOD(INT((H54)/16777216),256)/2^3),2)*8+MOD(INT(MOD(INT((E53)/16777216),256)/2^4),2)*MOD(INT(MOD(INT((H54)/16777216),256)/2^4),2)*16+MOD(INT(MOD(INT((E53)/16777216),256)/2^5),2)*MOD(INT(MOD(INT((H54)/16777216),256)/2^5),2)*32+MOD(INT(MOD(INT((E53)/16777216),256)/2^6),2)*MOD(INT(MOD(INT((H54)/16777216),256)/2^6),2)*64+MOD(INT(MOD(INT((E53)/16777216),256)/2^7),2)*MOD(INT(MOD(INT((H54)/16777216),256)/2^7),2)*128)*16777216)</f>
        <v>1159937058</v>
      </c>
      <c r="J54" s="43" t="n">
        <f aca="false">MOD(E53+H54-2*I54,4294967296)</f>
        <v>2320286685</v>
      </c>
      <c r="K54" s="36" t="n">
        <f aca="false">(IF(LEN('🔐 MD5'!B5)&gt;0,CODE(MID('🔐 MD5'!B5,1,1)),IF(LEN('🔐 MD5'!B5)=0,128,0)))+(IF(LEN('🔐 MD5'!B5)&gt;1,CODE(MID('🔐 MD5'!B5,2,1)),IF(LEN('🔐 MD5'!B5)=1,128,0)))*256+(IF(LEN('🔐 MD5'!B5)&gt;2,CODE(MID('🔐 MD5'!B5,3,1)),IF(LEN('🔐 MD5'!B5)=2,128,0)))*65536+(IF(LEN('🔐 MD5'!B5)&gt;3,CODE(MID('🔐 MD5'!B5,4,1)),IF(LEN('🔐 MD5'!B5)=3,128,0)))*16777216</f>
        <v>1819043176</v>
      </c>
      <c r="L54" s="36" t="n">
        <f aca="false">'📦 MD5 Constants'!C52</f>
        <v>4096336452</v>
      </c>
      <c r="M54" s="36" t="n">
        <f aca="false">'📦 MD5 Constants'!H52</f>
        <v>6</v>
      </c>
      <c r="N54" s="36" t="n">
        <f aca="false">MOD(C53+J54+K54+'📦 MD5 Constants'!C52,4294967296)</f>
        <v>131841728</v>
      </c>
      <c r="O54" s="36" t="n">
        <f aca="false">MOD(MOD(N54,2^26)*2^6+INT(N54/2^26),4294967296)</f>
        <v>4142903297</v>
      </c>
      <c r="P54" s="43" t="n">
        <f aca="false">D54</f>
        <v>3289927448</v>
      </c>
      <c r="Q54" s="34" t="s">
        <v>187</v>
      </c>
    </row>
    <row r="55" customFormat="false" ht="13.5" hidden="false" customHeight="true" outlineLevel="0" collapsed="false">
      <c r="B55" s="42" t="n">
        <v>50</v>
      </c>
      <c r="C55" s="43" t="n">
        <f aca="false">F54</f>
        <v>1164409954</v>
      </c>
      <c r="D55" s="43" t="n">
        <f aca="false">MOD(D54+O55,4294967296)</f>
        <v>578695131</v>
      </c>
      <c r="E55" s="43" t="n">
        <f aca="false">D54</f>
        <v>3289927448</v>
      </c>
      <c r="F55" s="43" t="n">
        <f aca="false">E54</f>
        <v>3441991447</v>
      </c>
      <c r="G55" s="36" t="n">
        <f aca="false">((MOD(INT(MOD(INT((D54)/1),256)/2^0),2)*MOD(INT(MOD(INT(((4294967295-F54))/1),256)/2^0),2)*1+MOD(INT(MOD(INT((D54)/1),256)/2^1),2)*MOD(INT(MOD(INT(((4294967295-F54))/1),256)/2^1),2)*2+MOD(INT(MOD(INT((D54)/1),256)/2^2),2)*MOD(INT(MOD(INT(((4294967295-F54))/1),256)/2^2),2)*4+MOD(INT(MOD(INT((D54)/1),256)/2^3),2)*MOD(INT(MOD(INT(((4294967295-F54))/1),256)/2^3),2)*8+MOD(INT(MOD(INT((D54)/1),256)/2^4),2)*MOD(INT(MOD(INT(((4294967295-F54))/1),256)/2^4),2)*16+MOD(INT(MOD(INT((D54)/1),256)/2^5),2)*MOD(INT(MOD(INT(((4294967295-F54))/1),256)/2^5),2)*32+MOD(INT(MOD(INT((D54)/1),256)/2^6),2)*MOD(INT(MOD(INT(((4294967295-F54))/1),256)/2^6),2)*64+MOD(INT(MOD(INT((D54)/1),256)/2^7),2)*MOD(INT(MOD(INT(((4294967295-F54))/1),256)/2^7),2)*128)*1+(MOD(INT(MOD(INT((D54)/256),256)/2^0),2)*MOD(INT(MOD(INT(((4294967295-F54))/256),256)/2^0),2)*1+MOD(INT(MOD(INT((D54)/256),256)/2^1),2)*MOD(INT(MOD(INT(((4294967295-F54))/256),256)/2^1),2)*2+MOD(INT(MOD(INT((D54)/256),256)/2^2),2)*MOD(INT(MOD(INT(((4294967295-F54))/256),256)/2^2),2)*4+MOD(INT(MOD(INT((D54)/256),256)/2^3),2)*MOD(INT(MOD(INT(((4294967295-F54))/256),256)/2^3),2)*8+MOD(INT(MOD(INT((D54)/256),256)/2^4),2)*MOD(INT(MOD(INT(((4294967295-F54))/256),256)/2^4),2)*16+MOD(INT(MOD(INT((D54)/256),256)/2^5),2)*MOD(INT(MOD(INT(((4294967295-F54))/256),256)/2^5),2)*32+MOD(INT(MOD(INT((D54)/256),256)/2^6),2)*MOD(INT(MOD(INT(((4294967295-F54))/256),256)/2^6),2)*64+MOD(INT(MOD(INT((D54)/256),256)/2^7),2)*MOD(INT(MOD(INT(((4294967295-F54))/256),256)/2^7),2)*128)*256+(MOD(INT(MOD(INT((D54)/65536),256)/2^0),2)*MOD(INT(MOD(INT(((4294967295-F54))/65536),256)/2^0),2)*1+MOD(INT(MOD(INT((D54)/65536),256)/2^1),2)*MOD(INT(MOD(INT(((4294967295-F54))/65536),256)/2^1),2)*2+MOD(INT(MOD(INT((D54)/65536),256)/2^2),2)*MOD(INT(MOD(INT(((4294967295-F54))/65536),256)/2^2),2)*4+MOD(INT(MOD(INT((D54)/65536),256)/2^3),2)*MOD(INT(MOD(INT(((4294967295-F54))/65536),256)/2^3),2)*8+MOD(INT(MOD(INT((D54)/65536),256)/2^4),2)*MOD(INT(MOD(INT(((4294967295-F54))/65536),256)/2^4),2)*16+MOD(INT(MOD(INT((D54)/65536),256)/2^5),2)*MOD(INT(MOD(INT(((4294967295-F54))/65536),256)/2^5),2)*32+MOD(INT(MOD(INT((D54)/65536),256)/2^6),2)*MOD(INT(MOD(INT(((4294967295-F54))/65536),256)/2^6),2)*64+MOD(INT(MOD(INT((D54)/65536),256)/2^7),2)*MOD(INT(MOD(INT(((4294967295-F54))/65536),256)/2^7),2)*128)*65536+(MOD(INT(MOD(INT((D54)/16777216),256)/2^0),2)*MOD(INT(MOD(INT(((4294967295-F54))/16777216),256)/2^0),2)*1+MOD(INT(MOD(INT((D54)/16777216),256)/2^1),2)*MOD(INT(MOD(INT(((4294967295-F54))/16777216),256)/2^1),2)*2+MOD(INT(MOD(INT((D54)/16777216),256)/2^2),2)*MOD(INT(MOD(INT(((4294967295-F54))/16777216),256)/2^2),2)*4+MOD(INT(MOD(INT((D54)/16777216),256)/2^3),2)*MOD(INT(MOD(INT(((4294967295-F54))/16777216),256)/2^3),2)*8+MOD(INT(MOD(INT((D54)/16777216),256)/2^4),2)*MOD(INT(MOD(INT(((4294967295-F54))/16777216),256)/2^4),2)*16+MOD(INT(MOD(INT((D54)/16777216),256)/2^5),2)*MOD(INT(MOD(INT(((4294967295-F54))/16777216),256)/2^5),2)*32+MOD(INT(MOD(INT((D54)/16777216),256)/2^6),2)*MOD(INT(MOD(INT(((4294967295-F54))/16777216),256)/2^6),2)*64+MOD(INT(MOD(INT((D54)/16777216),256)/2^7),2)*MOD(INT(MOD(INT(((4294967295-F54))/16777216),256)/2^7),2)*128)*16777216)</f>
        <v>2149057304</v>
      </c>
      <c r="H55" s="36" t="n">
        <f aca="false">MOD(D54+(4294967295-F54)-G55,4294967296)</f>
        <v>4271427485</v>
      </c>
      <c r="I55" s="36" t="n">
        <f aca="false">((MOD(INT(MOD(INT((E54)/1),256)/2^0),2)*MOD(INT(MOD(INT((H55)/1),256)/2^0),2)*1+MOD(INT(MOD(INT((E54)/1),256)/2^1),2)*MOD(INT(MOD(INT((H55)/1),256)/2^1),2)*2+MOD(INT(MOD(INT((E54)/1),256)/2^2),2)*MOD(INT(MOD(INT((H55)/1),256)/2^2),2)*4+MOD(INT(MOD(INT((E54)/1),256)/2^3),2)*MOD(INT(MOD(INT((H55)/1),256)/2^3),2)*8+MOD(INT(MOD(INT((E54)/1),256)/2^4),2)*MOD(INT(MOD(INT((H55)/1),256)/2^4),2)*16+MOD(INT(MOD(INT((E54)/1),256)/2^5),2)*MOD(INT(MOD(INT((H55)/1),256)/2^5),2)*32+MOD(INT(MOD(INT((E54)/1),256)/2^6),2)*MOD(INT(MOD(INT((H55)/1),256)/2^6),2)*64+MOD(INT(MOD(INT((E54)/1),256)/2^7),2)*MOD(INT(MOD(INT((H55)/1),256)/2^7),2)*128)*1+(MOD(INT(MOD(INT((E54)/256),256)/2^0),2)*MOD(INT(MOD(INT((H55)/256),256)/2^0),2)*1+MOD(INT(MOD(INT((E54)/256),256)/2^1),2)*MOD(INT(MOD(INT((H55)/256),256)/2^1),2)*2+MOD(INT(MOD(INT((E54)/256),256)/2^2),2)*MOD(INT(MOD(INT((H55)/256),256)/2^2),2)*4+MOD(INT(MOD(INT((E54)/256),256)/2^3),2)*MOD(INT(MOD(INT((H55)/256),256)/2^3),2)*8+MOD(INT(MOD(INT((E54)/256),256)/2^4),2)*MOD(INT(MOD(INT((H55)/256),256)/2^4),2)*16+MOD(INT(MOD(INT((E54)/256),256)/2^5),2)*MOD(INT(MOD(INT((H55)/256),256)/2^5),2)*32+MOD(INT(MOD(INT((E54)/256),256)/2^6),2)*MOD(INT(MOD(INT((H55)/256),256)/2^6),2)*64+MOD(INT(MOD(INT((E54)/256),256)/2^7),2)*MOD(INT(MOD(INT((H55)/256),256)/2^7),2)*128)*256+(MOD(INT(MOD(INT((E54)/65536),256)/2^0),2)*MOD(INT(MOD(INT((H55)/65536),256)/2^0),2)*1+MOD(INT(MOD(INT((E54)/65536),256)/2^1),2)*MOD(INT(MOD(INT((H55)/65536),256)/2^1),2)*2+MOD(INT(MOD(INT((E54)/65536),256)/2^2),2)*MOD(INT(MOD(INT((H55)/65536),256)/2^2),2)*4+MOD(INT(MOD(INT((E54)/65536),256)/2^3),2)*MOD(INT(MOD(INT((H55)/65536),256)/2^3),2)*8+MOD(INT(MOD(INT((E54)/65536),256)/2^4),2)*MOD(INT(MOD(INT((H55)/65536),256)/2^4),2)*16+MOD(INT(MOD(INT((E54)/65536),256)/2^5),2)*MOD(INT(MOD(INT((H55)/65536),256)/2^5),2)*32+MOD(INT(MOD(INT((E54)/65536),256)/2^6),2)*MOD(INT(MOD(INT((H55)/65536),256)/2^6),2)*64+MOD(INT(MOD(INT((E54)/65536),256)/2^7),2)*MOD(INT(MOD(INT((H55)/65536),256)/2^7),2)*128)*65536+(MOD(INT(MOD(INT((E54)/16777216),256)/2^0),2)*MOD(INT(MOD(INT((H55)/16777216),256)/2^0),2)*1+MOD(INT(MOD(INT((E54)/16777216),256)/2^1),2)*MOD(INT(MOD(INT((H55)/16777216),256)/2^1),2)*2+MOD(INT(MOD(INT((E54)/16777216),256)/2^2),2)*MOD(INT(MOD(INT((H55)/16777216),256)/2^2),2)*4+MOD(INT(MOD(INT((E54)/16777216),256)/2^3),2)*MOD(INT(MOD(INT((H55)/16777216),256)/2^3),2)*8+MOD(INT(MOD(INT((E54)/16777216),256)/2^4),2)*MOD(INT(MOD(INT((H55)/16777216),256)/2^4),2)*16+MOD(INT(MOD(INT((E54)/16777216),256)/2^5),2)*MOD(INT(MOD(INT((H55)/16777216),256)/2^5),2)*32+MOD(INT(MOD(INT((E54)/16777216),256)/2^6),2)*MOD(INT(MOD(INT((H55)/16777216),256)/2^6),2)*64+MOD(INT(MOD(INT((E54)/16777216),256)/2^7),2)*MOD(INT(MOD(INT((H55)/16777216),256)/2^7),2)*128)*16777216)</f>
        <v>3423112981</v>
      </c>
      <c r="J55" s="43" t="n">
        <f aca="false">MOD(E54+H55-2*I55,4294967296)</f>
        <v>867192970</v>
      </c>
      <c r="K55" s="36" t="n">
        <f aca="false">(0)+(0)*256+(0)*65536+(0)*16777216</f>
        <v>0</v>
      </c>
      <c r="L55" s="36" t="n">
        <f aca="false">'📦 MD5 Constants'!C53</f>
        <v>1126891415</v>
      </c>
      <c r="M55" s="36" t="n">
        <f aca="false">'📦 MD5 Constants'!H53</f>
        <v>10</v>
      </c>
      <c r="N55" s="36" t="n">
        <f aca="false">MOD(C54+J55+K55+'📦 MD5 Constants'!C53,4294967296)</f>
        <v>819435896</v>
      </c>
      <c r="O55" s="36" t="n">
        <f aca="false">MOD(MOD(N55,2^22)*2^10+INT(N55/2^22),4294967296)</f>
        <v>1583734979</v>
      </c>
      <c r="P55" s="43" t="n">
        <f aca="false">D55</f>
        <v>578695131</v>
      </c>
      <c r="Q55" s="34" t="s">
        <v>188</v>
      </c>
    </row>
    <row r="56" customFormat="false" ht="13.5" hidden="false" customHeight="true" outlineLevel="0" collapsed="false">
      <c r="B56" s="42" t="n">
        <v>51</v>
      </c>
      <c r="C56" s="43" t="n">
        <f aca="false">F55</f>
        <v>3441991447</v>
      </c>
      <c r="D56" s="43" t="n">
        <f aca="false">MOD(D55+O56,4294967296)</f>
        <v>2198381516</v>
      </c>
      <c r="E56" s="43" t="n">
        <f aca="false">D55</f>
        <v>578695131</v>
      </c>
      <c r="F56" s="43" t="n">
        <f aca="false">E55</f>
        <v>3289927448</v>
      </c>
      <c r="G56" s="36" t="n">
        <f aca="false">((MOD(INT(MOD(INT((D55)/1),256)/2^0),2)*MOD(INT(MOD(INT(((4294967295-F55))/1),256)/2^0),2)*1+MOD(INT(MOD(INT((D55)/1),256)/2^1),2)*MOD(INT(MOD(INT(((4294967295-F55))/1),256)/2^1),2)*2+MOD(INT(MOD(INT((D55)/1),256)/2^2),2)*MOD(INT(MOD(INT(((4294967295-F55))/1),256)/2^2),2)*4+MOD(INT(MOD(INT((D55)/1),256)/2^3),2)*MOD(INT(MOD(INT(((4294967295-F55))/1),256)/2^3),2)*8+MOD(INT(MOD(INT((D55)/1),256)/2^4),2)*MOD(INT(MOD(INT(((4294967295-F55))/1),256)/2^4),2)*16+MOD(INT(MOD(INT((D55)/1),256)/2^5),2)*MOD(INT(MOD(INT(((4294967295-F55))/1),256)/2^5),2)*32+MOD(INT(MOD(INT((D55)/1),256)/2^6),2)*MOD(INT(MOD(INT(((4294967295-F55))/1),256)/2^6),2)*64+MOD(INT(MOD(INT((D55)/1),256)/2^7),2)*MOD(INT(MOD(INT(((4294967295-F55))/1),256)/2^7),2)*128)*1+(MOD(INT(MOD(INT((D55)/256),256)/2^0),2)*MOD(INT(MOD(INT(((4294967295-F55))/256),256)/2^0),2)*1+MOD(INT(MOD(INT((D55)/256),256)/2^1),2)*MOD(INT(MOD(INT(((4294967295-F55))/256),256)/2^1),2)*2+MOD(INT(MOD(INT((D55)/256),256)/2^2),2)*MOD(INT(MOD(INT(((4294967295-F55))/256),256)/2^2),2)*4+MOD(INT(MOD(INT((D55)/256),256)/2^3),2)*MOD(INT(MOD(INT(((4294967295-F55))/256),256)/2^3),2)*8+MOD(INT(MOD(INT((D55)/256),256)/2^4),2)*MOD(INT(MOD(INT(((4294967295-F55))/256),256)/2^4),2)*16+MOD(INT(MOD(INT((D55)/256),256)/2^5),2)*MOD(INT(MOD(INT(((4294967295-F55))/256),256)/2^5),2)*32+MOD(INT(MOD(INT((D55)/256),256)/2^6),2)*MOD(INT(MOD(INT(((4294967295-F55))/256),256)/2^6),2)*64+MOD(INT(MOD(INT((D55)/256),256)/2^7),2)*MOD(INT(MOD(INT(((4294967295-F55))/256),256)/2^7),2)*128)*256+(MOD(INT(MOD(INT((D55)/65536),256)/2^0),2)*MOD(INT(MOD(INT(((4294967295-F55))/65536),256)/2^0),2)*1+MOD(INT(MOD(INT((D55)/65536),256)/2^1),2)*MOD(INT(MOD(INT(((4294967295-F55))/65536),256)/2^1),2)*2+MOD(INT(MOD(INT((D55)/65536),256)/2^2),2)*MOD(INT(MOD(INT(((4294967295-F55))/65536),256)/2^2),2)*4+MOD(INT(MOD(INT((D55)/65536),256)/2^3),2)*MOD(INT(MOD(INT(((4294967295-F55))/65536),256)/2^3),2)*8+MOD(INT(MOD(INT((D55)/65536),256)/2^4),2)*MOD(INT(MOD(INT(((4294967295-F55))/65536),256)/2^4),2)*16+MOD(INT(MOD(INT((D55)/65536),256)/2^5),2)*MOD(INT(MOD(INT(((4294967295-F55))/65536),256)/2^5),2)*32+MOD(INT(MOD(INT((D55)/65536),256)/2^6),2)*MOD(INT(MOD(INT(((4294967295-F55))/65536),256)/2^6),2)*64+MOD(INT(MOD(INT((D55)/65536),256)/2^7),2)*MOD(INT(MOD(INT(((4294967295-F55))/65536),256)/2^7),2)*128)*65536+(MOD(INT(MOD(INT((D55)/16777216),256)/2^0),2)*MOD(INT(MOD(INT(((4294967295-F55))/16777216),256)/2^0),2)*1+MOD(INT(MOD(INT((D55)/16777216),256)/2^1),2)*MOD(INT(MOD(INT(((4294967295-F55))/16777216),256)/2^1),2)*2+MOD(INT(MOD(INT((D55)/16777216),256)/2^2),2)*MOD(INT(MOD(INT(((4294967295-F55))/16777216),256)/2^2),2)*4+MOD(INT(MOD(INT((D55)/16777216),256)/2^3),2)*MOD(INT(MOD(INT(((4294967295-F55))/16777216),256)/2^3),2)*8+MOD(INT(MOD(INT((D55)/16777216),256)/2^4),2)*MOD(INT(MOD(INT(((4294967295-F55))/16777216),256)/2^4),2)*16+MOD(INT(MOD(INT((D55)/16777216),256)/2^5),2)*MOD(INT(MOD(INT(((4294967295-F55))/16777216),256)/2^5),2)*32+MOD(INT(MOD(INT((D55)/16777216),256)/2^6),2)*MOD(INT(MOD(INT(((4294967295-F55))/16777216),256)/2^6),2)*64+MOD(INT(MOD(INT((D55)/16777216),256)/2^7),2)*MOD(INT(MOD(INT(((4294967295-F55))/16777216),256)/2^7),2)*128)*16777216)</f>
        <v>576069832</v>
      </c>
      <c r="H56" s="36" t="n">
        <f aca="false">MOD(D55+(4294967295-F55)-G56,4294967296)</f>
        <v>855601147</v>
      </c>
      <c r="I56" s="36" t="n">
        <f aca="false">((MOD(INT(MOD(INT((E55)/1),256)/2^0),2)*MOD(INT(MOD(INT((H56)/1),256)/2^0),2)*1+MOD(INT(MOD(INT((E55)/1),256)/2^1),2)*MOD(INT(MOD(INT((H56)/1),256)/2^1),2)*2+MOD(INT(MOD(INT((E55)/1),256)/2^2),2)*MOD(INT(MOD(INT((H56)/1),256)/2^2),2)*4+MOD(INT(MOD(INT((E55)/1),256)/2^3),2)*MOD(INT(MOD(INT((H56)/1),256)/2^3),2)*8+MOD(INT(MOD(INT((E55)/1),256)/2^4),2)*MOD(INT(MOD(INT((H56)/1),256)/2^4),2)*16+MOD(INT(MOD(INT((E55)/1),256)/2^5),2)*MOD(INT(MOD(INT((H56)/1),256)/2^5),2)*32+MOD(INT(MOD(INT((E55)/1),256)/2^6),2)*MOD(INT(MOD(INT((H56)/1),256)/2^6),2)*64+MOD(INT(MOD(INT((E55)/1),256)/2^7),2)*MOD(INT(MOD(INT((H56)/1),256)/2^7),2)*128)*1+(MOD(INT(MOD(INT((E55)/256),256)/2^0),2)*MOD(INT(MOD(INT((H56)/256),256)/2^0),2)*1+MOD(INT(MOD(INT((E55)/256),256)/2^1),2)*MOD(INT(MOD(INT((H56)/256),256)/2^1),2)*2+MOD(INT(MOD(INT((E55)/256),256)/2^2),2)*MOD(INT(MOD(INT((H56)/256),256)/2^2),2)*4+MOD(INT(MOD(INT((E55)/256),256)/2^3),2)*MOD(INT(MOD(INT((H56)/256),256)/2^3),2)*8+MOD(INT(MOD(INT((E55)/256),256)/2^4),2)*MOD(INT(MOD(INT((H56)/256),256)/2^4),2)*16+MOD(INT(MOD(INT((E55)/256),256)/2^5),2)*MOD(INT(MOD(INT((H56)/256),256)/2^5),2)*32+MOD(INT(MOD(INT((E55)/256),256)/2^6),2)*MOD(INT(MOD(INT((H56)/256),256)/2^6),2)*64+MOD(INT(MOD(INT((E55)/256),256)/2^7),2)*MOD(INT(MOD(INT((H56)/256),256)/2^7),2)*128)*256+(MOD(INT(MOD(INT((E55)/65536),256)/2^0),2)*MOD(INT(MOD(INT((H56)/65536),256)/2^0),2)*1+MOD(INT(MOD(INT((E55)/65536),256)/2^1),2)*MOD(INT(MOD(INT((H56)/65536),256)/2^1),2)*2+MOD(INT(MOD(INT((E55)/65536),256)/2^2),2)*MOD(INT(MOD(INT((H56)/65536),256)/2^2),2)*4+MOD(INT(MOD(INT((E55)/65536),256)/2^3),2)*MOD(INT(MOD(INT((H56)/65536),256)/2^3),2)*8+MOD(INT(MOD(INT((E55)/65536),256)/2^4),2)*MOD(INT(MOD(INT((H56)/65536),256)/2^4),2)*16+MOD(INT(MOD(INT((E55)/65536),256)/2^5),2)*MOD(INT(MOD(INT((H56)/65536),256)/2^5),2)*32+MOD(INT(MOD(INT((E55)/65536),256)/2^6),2)*MOD(INT(MOD(INT((H56)/65536),256)/2^6),2)*64+MOD(INT(MOD(INT((E55)/65536),256)/2^7),2)*MOD(INT(MOD(INT((H56)/65536),256)/2^7),2)*128)*65536+(MOD(INT(MOD(INT((E55)/16777216),256)/2^0),2)*MOD(INT(MOD(INT((H56)/16777216),256)/2^0),2)*1+MOD(INT(MOD(INT((E55)/16777216),256)/2^1),2)*MOD(INT(MOD(INT((H56)/16777216),256)/2^1),2)*2+MOD(INT(MOD(INT((E55)/16777216),256)/2^2),2)*MOD(INT(MOD(INT((H56)/16777216),256)/2^2),2)*4+MOD(INT(MOD(INT((E55)/16777216),256)/2^3),2)*MOD(INT(MOD(INT((H56)/16777216),256)/2^3),2)*8+MOD(INT(MOD(INT((E55)/16777216),256)/2^4),2)*MOD(INT(MOD(INT((H56)/16777216),256)/2^4),2)*16+MOD(INT(MOD(INT((E55)/16777216),256)/2^5),2)*MOD(INT(MOD(INT((H56)/16777216),256)/2^5),2)*32+MOD(INT(MOD(INT((E55)/16777216),256)/2^6),2)*MOD(INT(MOD(INT((H56)/16777216),256)/2^6),2)*64+MOD(INT(MOD(INT((E55)/16777216),256)/2^7),2)*MOD(INT(MOD(INT((H56)/16777216),256)/2^7),2)*128)*16777216)</f>
        <v>1593112</v>
      </c>
      <c r="J56" s="43" t="n">
        <f aca="false">MOD(E55+H56-2*I56,4294967296)</f>
        <v>4142342371</v>
      </c>
      <c r="K56" s="36" t="n">
        <f aca="false">(MOD(LEN('🔐 MD5'!B5)*8,256))+(MOD(INT(LEN('🔐 MD5'!B5)*8/256),256))*256+(MOD(INT(LEN('🔐 MD5'!B5)*8/65536),256))*65536+(MOD(INT(LEN('🔐 MD5'!B5)*8/16777216),256))*16777216</f>
        <v>40</v>
      </c>
      <c r="L56" s="36" t="n">
        <f aca="false">'📦 MD5 Constants'!C54</f>
        <v>2878612391</v>
      </c>
      <c r="M56" s="36" t="n">
        <f aca="false">'📦 MD5 Constants'!H54</f>
        <v>15</v>
      </c>
      <c r="N56" s="36" t="n">
        <f aca="false">MOD(C55+J56+K56+'📦 MD5 Constants'!C54,4294967296)</f>
        <v>3890397460</v>
      </c>
      <c r="O56" s="36" t="n">
        <f aca="false">MOD(MOD(N56,2^17)*2^15+INT(N56/2^17),4294967296)</f>
        <v>1619686385</v>
      </c>
      <c r="P56" s="43" t="n">
        <f aca="false">D56</f>
        <v>2198381516</v>
      </c>
      <c r="Q56" s="34" t="s">
        <v>189</v>
      </c>
    </row>
    <row r="57" customFormat="false" ht="13.5" hidden="false" customHeight="true" outlineLevel="0" collapsed="false">
      <c r="B57" s="42" t="n">
        <v>52</v>
      </c>
      <c r="C57" s="43" t="n">
        <f aca="false">F56</f>
        <v>3289927448</v>
      </c>
      <c r="D57" s="43" t="n">
        <f aca="false">MOD(D56+O57,4294967296)</f>
        <v>4086631815</v>
      </c>
      <c r="E57" s="43" t="n">
        <f aca="false">D56</f>
        <v>2198381516</v>
      </c>
      <c r="F57" s="43" t="n">
        <f aca="false">E56</f>
        <v>578695131</v>
      </c>
      <c r="G57" s="36" t="n">
        <f aca="false">((MOD(INT(MOD(INT((D56)/1),256)/2^0),2)*MOD(INT(MOD(INT(((4294967295-F56))/1),256)/2^0),2)*1+MOD(INT(MOD(INT((D56)/1),256)/2^1),2)*MOD(INT(MOD(INT(((4294967295-F56))/1),256)/2^1),2)*2+MOD(INT(MOD(INT((D56)/1),256)/2^2),2)*MOD(INT(MOD(INT(((4294967295-F56))/1),256)/2^2),2)*4+MOD(INT(MOD(INT((D56)/1),256)/2^3),2)*MOD(INT(MOD(INT(((4294967295-F56))/1),256)/2^3),2)*8+MOD(INT(MOD(INT((D56)/1),256)/2^4),2)*MOD(INT(MOD(INT(((4294967295-F56))/1),256)/2^4),2)*16+MOD(INT(MOD(INT((D56)/1),256)/2^5),2)*MOD(INT(MOD(INT(((4294967295-F56))/1),256)/2^5),2)*32+MOD(INT(MOD(INT((D56)/1),256)/2^6),2)*MOD(INT(MOD(INT(((4294967295-F56))/1),256)/2^6),2)*64+MOD(INT(MOD(INT((D56)/1),256)/2^7),2)*MOD(INT(MOD(INT(((4294967295-F56))/1),256)/2^7),2)*128)*1+(MOD(INT(MOD(INT((D56)/256),256)/2^0),2)*MOD(INT(MOD(INT(((4294967295-F56))/256),256)/2^0),2)*1+MOD(INT(MOD(INT((D56)/256),256)/2^1),2)*MOD(INT(MOD(INT(((4294967295-F56))/256),256)/2^1),2)*2+MOD(INT(MOD(INT((D56)/256),256)/2^2),2)*MOD(INT(MOD(INT(((4294967295-F56))/256),256)/2^2),2)*4+MOD(INT(MOD(INT((D56)/256),256)/2^3),2)*MOD(INT(MOD(INT(((4294967295-F56))/256),256)/2^3),2)*8+MOD(INT(MOD(INT((D56)/256),256)/2^4),2)*MOD(INT(MOD(INT(((4294967295-F56))/256),256)/2^4),2)*16+MOD(INT(MOD(INT((D56)/256),256)/2^5),2)*MOD(INT(MOD(INT(((4294967295-F56))/256),256)/2^5),2)*32+MOD(INT(MOD(INT((D56)/256),256)/2^6),2)*MOD(INT(MOD(INT(((4294967295-F56))/256),256)/2^6),2)*64+MOD(INT(MOD(INT((D56)/256),256)/2^7),2)*MOD(INT(MOD(INT(((4294967295-F56))/256),256)/2^7),2)*128)*256+(MOD(INT(MOD(INT((D56)/65536),256)/2^0),2)*MOD(INT(MOD(INT(((4294967295-F56))/65536),256)/2^0),2)*1+MOD(INT(MOD(INT((D56)/65536),256)/2^1),2)*MOD(INT(MOD(INT(((4294967295-F56))/65536),256)/2^1),2)*2+MOD(INT(MOD(INT((D56)/65536),256)/2^2),2)*MOD(INT(MOD(INT(((4294967295-F56))/65536),256)/2^2),2)*4+MOD(INT(MOD(INT((D56)/65536),256)/2^3),2)*MOD(INT(MOD(INT(((4294967295-F56))/65536),256)/2^3),2)*8+MOD(INT(MOD(INT((D56)/65536),256)/2^4),2)*MOD(INT(MOD(INT(((4294967295-F56))/65536),256)/2^4),2)*16+MOD(INT(MOD(INT((D56)/65536),256)/2^5),2)*MOD(INT(MOD(INT(((4294967295-F56))/65536),256)/2^5),2)*32+MOD(INT(MOD(INT((D56)/65536),256)/2^6),2)*MOD(INT(MOD(INT(((4294967295-F56))/65536),256)/2^6),2)*64+MOD(INT(MOD(INT((D56)/65536),256)/2^7),2)*MOD(INT(MOD(INT(((4294967295-F56))/65536),256)/2^7),2)*128)*65536+(MOD(INT(MOD(INT((D56)/16777216),256)/2^0),2)*MOD(INT(MOD(INT(((4294967295-F56))/16777216),256)/2^0),2)*1+MOD(INT(MOD(INT((D56)/16777216),256)/2^1),2)*MOD(INT(MOD(INT(((4294967295-F56))/16777216),256)/2^1),2)*2+MOD(INT(MOD(INT((D56)/16777216),256)/2^2),2)*MOD(INT(MOD(INT(((4294967295-F56))/16777216),256)/2^2),2)*4+MOD(INT(MOD(INT((D56)/16777216),256)/2^3),2)*MOD(INT(MOD(INT(((4294967295-F56))/16777216),256)/2^3),2)*8+MOD(INT(MOD(INT((D56)/16777216),256)/2^4),2)*MOD(INT(MOD(INT(((4294967295-F56))/16777216),256)/2^4),2)*16+MOD(INT(MOD(INT((D56)/16777216),256)/2^5),2)*MOD(INT(MOD(INT(((4294967295-F56))/16777216),256)/2^5),2)*32+MOD(INT(MOD(INT((D56)/16777216),256)/2^6),2)*MOD(INT(MOD(INT(((4294967295-F56))/16777216),256)/2^6),2)*64+MOD(INT(MOD(INT((D56)/16777216),256)/2^7),2)*MOD(INT(MOD(INT(((4294967295-F56))/16777216),256)/2^7),2)*128)*16777216)</f>
        <v>50372804</v>
      </c>
      <c r="H57" s="36" t="n">
        <f aca="false">MOD(D56+(4294967295-F56)-G57,4294967296)</f>
        <v>3153048559</v>
      </c>
      <c r="I57" s="36" t="n">
        <f aca="false">((MOD(INT(MOD(INT((E56)/1),256)/2^0),2)*MOD(INT(MOD(INT((H57)/1),256)/2^0),2)*1+MOD(INT(MOD(INT((E56)/1),256)/2^1),2)*MOD(INT(MOD(INT((H57)/1),256)/2^1),2)*2+MOD(INT(MOD(INT((E56)/1),256)/2^2),2)*MOD(INT(MOD(INT((H57)/1),256)/2^2),2)*4+MOD(INT(MOD(INT((E56)/1),256)/2^3),2)*MOD(INT(MOD(INT((H57)/1),256)/2^3),2)*8+MOD(INT(MOD(INT((E56)/1),256)/2^4),2)*MOD(INT(MOD(INT((H57)/1),256)/2^4),2)*16+MOD(INT(MOD(INT((E56)/1),256)/2^5),2)*MOD(INT(MOD(INT((H57)/1),256)/2^5),2)*32+MOD(INT(MOD(INT((E56)/1),256)/2^6),2)*MOD(INT(MOD(INT((H57)/1),256)/2^6),2)*64+MOD(INT(MOD(INT((E56)/1),256)/2^7),2)*MOD(INT(MOD(INT((H57)/1),256)/2^7),2)*128)*1+(MOD(INT(MOD(INT((E56)/256),256)/2^0),2)*MOD(INT(MOD(INT((H57)/256),256)/2^0),2)*1+MOD(INT(MOD(INT((E56)/256),256)/2^1),2)*MOD(INT(MOD(INT((H57)/256),256)/2^1),2)*2+MOD(INT(MOD(INT((E56)/256),256)/2^2),2)*MOD(INT(MOD(INT((H57)/256),256)/2^2),2)*4+MOD(INT(MOD(INT((E56)/256),256)/2^3),2)*MOD(INT(MOD(INT((H57)/256),256)/2^3),2)*8+MOD(INT(MOD(INT((E56)/256),256)/2^4),2)*MOD(INT(MOD(INT((H57)/256),256)/2^4),2)*16+MOD(INT(MOD(INT((E56)/256),256)/2^5),2)*MOD(INT(MOD(INT((H57)/256),256)/2^5),2)*32+MOD(INT(MOD(INT((E56)/256),256)/2^6),2)*MOD(INT(MOD(INT((H57)/256),256)/2^6),2)*64+MOD(INT(MOD(INT((E56)/256),256)/2^7),2)*MOD(INT(MOD(INT((H57)/256),256)/2^7),2)*128)*256+(MOD(INT(MOD(INT((E56)/65536),256)/2^0),2)*MOD(INT(MOD(INT((H57)/65536),256)/2^0),2)*1+MOD(INT(MOD(INT((E56)/65536),256)/2^1),2)*MOD(INT(MOD(INT((H57)/65536),256)/2^1),2)*2+MOD(INT(MOD(INT((E56)/65536),256)/2^2),2)*MOD(INT(MOD(INT((H57)/65536),256)/2^2),2)*4+MOD(INT(MOD(INT((E56)/65536),256)/2^3),2)*MOD(INT(MOD(INT((H57)/65536),256)/2^3),2)*8+MOD(INT(MOD(INT((E56)/65536),256)/2^4),2)*MOD(INT(MOD(INT((H57)/65536),256)/2^4),2)*16+MOD(INT(MOD(INT((E56)/65536),256)/2^5),2)*MOD(INT(MOD(INT((H57)/65536),256)/2^5),2)*32+MOD(INT(MOD(INT((E56)/65536),256)/2^6),2)*MOD(INT(MOD(INT((H57)/65536),256)/2^6),2)*64+MOD(INT(MOD(INT((E56)/65536),256)/2^7),2)*MOD(INT(MOD(INT((H57)/65536),256)/2^7),2)*128)*65536+(MOD(INT(MOD(INT((E56)/16777216),256)/2^0),2)*MOD(INT(MOD(INT((H57)/16777216),256)/2^0),2)*1+MOD(INT(MOD(INT((E56)/16777216),256)/2^1),2)*MOD(INT(MOD(INT((H57)/16777216),256)/2^1),2)*2+MOD(INT(MOD(INT((E56)/16777216),256)/2^2),2)*MOD(INT(MOD(INT((H57)/16777216),256)/2^2),2)*4+MOD(INT(MOD(INT((E56)/16777216),256)/2^3),2)*MOD(INT(MOD(INT((H57)/16777216),256)/2^3),2)*8+MOD(INT(MOD(INT((E56)/16777216),256)/2^4),2)*MOD(INT(MOD(INT((H57)/16777216),256)/2^4),2)*16+MOD(INT(MOD(INT((E56)/16777216),256)/2^5),2)*MOD(INT(MOD(INT((H57)/16777216),256)/2^5),2)*32+MOD(INT(MOD(INT((E56)/16777216),256)/2^6),2)*MOD(INT(MOD(INT((H57)/16777216),256)/2^6),2)*64+MOD(INT(MOD(INT((E56)/16777216),256)/2^7),2)*MOD(INT(MOD(INT((H57)/16777216),256)/2^7),2)*128)*16777216)</f>
        <v>577643467</v>
      </c>
      <c r="J57" s="43" t="n">
        <f aca="false">MOD(E56+H57-2*I57,4294967296)</f>
        <v>2576456756</v>
      </c>
      <c r="K57" s="36" t="n">
        <f aca="false">(0)+(0)*256+(0)*65536+(0)*16777216</f>
        <v>0</v>
      </c>
      <c r="L57" s="36" t="n">
        <f aca="false">'📦 MD5 Constants'!C55</f>
        <v>4237533241</v>
      </c>
      <c r="M57" s="36" t="n">
        <f aca="false">'📦 MD5 Constants'!H55</f>
        <v>21</v>
      </c>
      <c r="N57" s="36" t="n">
        <f aca="false">MOD(C56+J57+K57+'📦 MD5 Constants'!C55,4294967296)</f>
        <v>1666046852</v>
      </c>
      <c r="O57" s="36" t="n">
        <f aca="false">MOD(MOD(N57,2^11)*2^21+INT(N57/2^11),4294967296)</f>
        <v>1888250299</v>
      </c>
      <c r="P57" s="43" t="n">
        <f aca="false">D57</f>
        <v>4086631815</v>
      </c>
      <c r="Q57" s="34" t="s">
        <v>190</v>
      </c>
    </row>
    <row r="58" customFormat="false" ht="13.5" hidden="false" customHeight="true" outlineLevel="0" collapsed="false">
      <c r="B58" s="42" t="n">
        <v>53</v>
      </c>
      <c r="C58" s="43" t="n">
        <f aca="false">F57</f>
        <v>578695131</v>
      </c>
      <c r="D58" s="43" t="n">
        <f aca="false">MOD(D57+O58,4294967296)</f>
        <v>2011094832</v>
      </c>
      <c r="E58" s="43" t="n">
        <f aca="false">D57</f>
        <v>4086631815</v>
      </c>
      <c r="F58" s="43" t="n">
        <f aca="false">E57</f>
        <v>2198381516</v>
      </c>
      <c r="G58" s="36" t="n">
        <f aca="false">((MOD(INT(MOD(INT((D57)/1),256)/2^0),2)*MOD(INT(MOD(INT(((4294967295-F57))/1),256)/2^0),2)*1+MOD(INT(MOD(INT((D57)/1),256)/2^1),2)*MOD(INT(MOD(INT(((4294967295-F57))/1),256)/2^1),2)*2+MOD(INT(MOD(INT((D57)/1),256)/2^2),2)*MOD(INT(MOD(INT(((4294967295-F57))/1),256)/2^2),2)*4+MOD(INT(MOD(INT((D57)/1),256)/2^3),2)*MOD(INT(MOD(INT(((4294967295-F57))/1),256)/2^3),2)*8+MOD(INT(MOD(INT((D57)/1),256)/2^4),2)*MOD(INT(MOD(INT(((4294967295-F57))/1),256)/2^4),2)*16+MOD(INT(MOD(INT((D57)/1),256)/2^5),2)*MOD(INT(MOD(INT(((4294967295-F57))/1),256)/2^5),2)*32+MOD(INT(MOD(INT((D57)/1),256)/2^6),2)*MOD(INT(MOD(INT(((4294967295-F57))/1),256)/2^6),2)*64+MOD(INT(MOD(INT((D57)/1),256)/2^7),2)*MOD(INT(MOD(INT(((4294967295-F57))/1),256)/2^7),2)*128)*1+(MOD(INT(MOD(INT((D57)/256),256)/2^0),2)*MOD(INT(MOD(INT(((4294967295-F57))/256),256)/2^0),2)*1+MOD(INT(MOD(INT((D57)/256),256)/2^1),2)*MOD(INT(MOD(INT(((4294967295-F57))/256),256)/2^1),2)*2+MOD(INT(MOD(INT((D57)/256),256)/2^2),2)*MOD(INT(MOD(INT(((4294967295-F57))/256),256)/2^2),2)*4+MOD(INT(MOD(INT((D57)/256),256)/2^3),2)*MOD(INT(MOD(INT(((4294967295-F57))/256),256)/2^3),2)*8+MOD(INT(MOD(INT((D57)/256),256)/2^4),2)*MOD(INT(MOD(INT(((4294967295-F57))/256),256)/2^4),2)*16+MOD(INT(MOD(INT((D57)/256),256)/2^5),2)*MOD(INT(MOD(INT(((4294967295-F57))/256),256)/2^5),2)*32+MOD(INT(MOD(INT((D57)/256),256)/2^6),2)*MOD(INT(MOD(INT(((4294967295-F57))/256),256)/2^6),2)*64+MOD(INT(MOD(INT((D57)/256),256)/2^7),2)*MOD(INT(MOD(INT(((4294967295-F57))/256),256)/2^7),2)*128)*256+(MOD(INT(MOD(INT((D57)/65536),256)/2^0),2)*MOD(INT(MOD(INT(((4294967295-F57))/65536),256)/2^0),2)*1+MOD(INT(MOD(INT((D57)/65536),256)/2^1),2)*MOD(INT(MOD(INT(((4294967295-F57))/65536),256)/2^1),2)*2+MOD(INT(MOD(INT((D57)/65536),256)/2^2),2)*MOD(INT(MOD(INT(((4294967295-F57))/65536),256)/2^2),2)*4+MOD(INT(MOD(INT((D57)/65536),256)/2^3),2)*MOD(INT(MOD(INT(((4294967295-F57))/65536),256)/2^3),2)*8+MOD(INT(MOD(INT((D57)/65536),256)/2^4),2)*MOD(INT(MOD(INT(((4294967295-F57))/65536),256)/2^4),2)*16+MOD(INT(MOD(INT((D57)/65536),256)/2^5),2)*MOD(INT(MOD(INT(((4294967295-F57))/65536),256)/2^5),2)*32+MOD(INT(MOD(INT((D57)/65536),256)/2^6),2)*MOD(INT(MOD(INT(((4294967295-F57))/65536),256)/2^6),2)*64+MOD(INT(MOD(INT((D57)/65536),256)/2^7),2)*MOD(INT(MOD(INT(((4294967295-F57))/65536),256)/2^7),2)*128)*65536+(MOD(INT(MOD(INT((D57)/16777216),256)/2^0),2)*MOD(INT(MOD(INT(((4294967295-F57))/16777216),256)/2^0),2)*1+MOD(INT(MOD(INT((D57)/16777216),256)/2^1),2)*MOD(INT(MOD(INT(((4294967295-F57))/16777216),256)/2^1),2)*2+MOD(INT(MOD(INT((D57)/16777216),256)/2^2),2)*MOD(INT(MOD(INT(((4294967295-F57))/16777216),256)/2^2),2)*4+MOD(INT(MOD(INT((D57)/16777216),256)/2^3),2)*MOD(INT(MOD(INT(((4294967295-F57))/16777216),256)/2^3),2)*8+MOD(INT(MOD(INT((D57)/16777216),256)/2^4),2)*MOD(INT(MOD(INT(((4294967295-F57))/16777216),256)/2^4),2)*16+MOD(INT(MOD(INT((D57)/16777216),256)/2^5),2)*MOD(INT(MOD(INT(((4294967295-F57))/16777216),256)/2^5),2)*32+MOD(INT(MOD(INT((D57)/16777216),256)/2^6),2)*MOD(INT(MOD(INT(((4294967295-F57))/16777216),256)/2^6),2)*64+MOD(INT(MOD(INT((D57)/16777216),256)/2^7),2)*MOD(INT(MOD(INT(((4294967295-F57))/16777216),256)/2^7),2)*128)*16777216)</f>
        <v>3514892292</v>
      </c>
      <c r="H58" s="36" t="n">
        <f aca="false">MOD(D57+(4294967295-F57)-G58,4294967296)</f>
        <v>4288011687</v>
      </c>
      <c r="I58" s="36" t="n">
        <f aca="false">((MOD(INT(MOD(INT((E57)/1),256)/2^0),2)*MOD(INT(MOD(INT((H58)/1),256)/2^0),2)*1+MOD(INT(MOD(INT((E57)/1),256)/2^1),2)*MOD(INT(MOD(INT((H58)/1),256)/2^1),2)*2+MOD(INT(MOD(INT((E57)/1),256)/2^2),2)*MOD(INT(MOD(INT((H58)/1),256)/2^2),2)*4+MOD(INT(MOD(INT((E57)/1),256)/2^3),2)*MOD(INT(MOD(INT((H58)/1),256)/2^3),2)*8+MOD(INT(MOD(INT((E57)/1),256)/2^4),2)*MOD(INT(MOD(INT((H58)/1),256)/2^4),2)*16+MOD(INT(MOD(INT((E57)/1),256)/2^5),2)*MOD(INT(MOD(INT((H58)/1),256)/2^5),2)*32+MOD(INT(MOD(INT((E57)/1),256)/2^6),2)*MOD(INT(MOD(INT((H58)/1),256)/2^6),2)*64+MOD(INT(MOD(INT((E57)/1),256)/2^7),2)*MOD(INT(MOD(INT((H58)/1),256)/2^7),2)*128)*1+(MOD(INT(MOD(INT((E57)/256),256)/2^0),2)*MOD(INT(MOD(INT((H58)/256),256)/2^0),2)*1+MOD(INT(MOD(INT((E57)/256),256)/2^1),2)*MOD(INT(MOD(INT((H58)/256),256)/2^1),2)*2+MOD(INT(MOD(INT((E57)/256),256)/2^2),2)*MOD(INT(MOD(INT((H58)/256),256)/2^2),2)*4+MOD(INT(MOD(INT((E57)/256),256)/2^3),2)*MOD(INT(MOD(INT((H58)/256),256)/2^3),2)*8+MOD(INT(MOD(INT((E57)/256),256)/2^4),2)*MOD(INT(MOD(INT((H58)/256),256)/2^4),2)*16+MOD(INT(MOD(INT((E57)/256),256)/2^5),2)*MOD(INT(MOD(INT((H58)/256),256)/2^5),2)*32+MOD(INT(MOD(INT((E57)/256),256)/2^6),2)*MOD(INT(MOD(INT((H58)/256),256)/2^6),2)*64+MOD(INT(MOD(INT((E57)/256),256)/2^7),2)*MOD(INT(MOD(INT((H58)/256),256)/2^7),2)*128)*256+(MOD(INT(MOD(INT((E57)/65536),256)/2^0),2)*MOD(INT(MOD(INT((H58)/65536),256)/2^0),2)*1+MOD(INT(MOD(INT((E57)/65536),256)/2^1),2)*MOD(INT(MOD(INT((H58)/65536),256)/2^1),2)*2+MOD(INT(MOD(INT((E57)/65536),256)/2^2),2)*MOD(INT(MOD(INT((H58)/65536),256)/2^2),2)*4+MOD(INT(MOD(INT((E57)/65536),256)/2^3),2)*MOD(INT(MOD(INT((H58)/65536),256)/2^3),2)*8+MOD(INT(MOD(INT((E57)/65536),256)/2^4),2)*MOD(INT(MOD(INT((H58)/65536),256)/2^4),2)*16+MOD(INT(MOD(INT((E57)/65536),256)/2^5),2)*MOD(INT(MOD(INT((H58)/65536),256)/2^5),2)*32+MOD(INT(MOD(INT((E57)/65536),256)/2^6),2)*MOD(INT(MOD(INT((H58)/65536),256)/2^6),2)*64+MOD(INT(MOD(INT((E57)/65536),256)/2^7),2)*MOD(INT(MOD(INT((H58)/65536),256)/2^7),2)*128)*65536+(MOD(INT(MOD(INT((E57)/16777216),256)/2^0),2)*MOD(INT(MOD(INT((H58)/16777216),256)/2^0),2)*1+MOD(INT(MOD(INT((E57)/16777216),256)/2^1),2)*MOD(INT(MOD(INT((H58)/16777216),256)/2^1),2)*2+MOD(INT(MOD(INT((E57)/16777216),256)/2^2),2)*MOD(INT(MOD(INT((H58)/16777216),256)/2^2),2)*4+MOD(INT(MOD(INT((E57)/16777216),256)/2^3),2)*MOD(INT(MOD(INT((H58)/16777216),256)/2^3),2)*8+MOD(INT(MOD(INT((E57)/16777216),256)/2^4),2)*MOD(INT(MOD(INT((H58)/16777216),256)/2^4),2)*16+MOD(INT(MOD(INT((E57)/16777216),256)/2^5),2)*MOD(INT(MOD(INT((H58)/16777216),256)/2^5),2)*32+MOD(INT(MOD(INT((E57)/16777216),256)/2^6),2)*MOD(INT(MOD(INT((H58)/16777216),256)/2^6),2)*64+MOD(INT(MOD(INT((E57)/16777216),256)/2^7),2)*MOD(INT(MOD(INT((H58)/16777216),256)/2^7),2)*128)*16777216)</f>
        <v>2197848452</v>
      </c>
      <c r="J58" s="43" t="n">
        <f aca="false">MOD(E57+H58-2*I58,4294967296)</f>
        <v>2090696299</v>
      </c>
      <c r="K58" s="36" t="n">
        <f aca="false">(0)+(0)*256+(0)*65536+(0)*16777216</f>
        <v>0</v>
      </c>
      <c r="L58" s="36" t="n">
        <f aca="false">'📦 MD5 Constants'!C56</f>
        <v>1700485571</v>
      </c>
      <c r="M58" s="36" t="n">
        <f aca="false">'📦 MD5 Constants'!H56</f>
        <v>6</v>
      </c>
      <c r="N58" s="36" t="n">
        <f aca="false">MOD(C57+J58+K58+'📦 MD5 Constants'!C56,4294967296)</f>
        <v>2786142022</v>
      </c>
      <c r="O58" s="36" t="n">
        <f aca="false">MOD(MOD(N58,2^26)*2^6+INT(N58/2^26),4294967296)</f>
        <v>2219430313</v>
      </c>
      <c r="P58" s="43" t="n">
        <f aca="false">D58</f>
        <v>2011094832</v>
      </c>
      <c r="Q58" s="34" t="s">
        <v>191</v>
      </c>
    </row>
    <row r="59" customFormat="false" ht="13.5" hidden="false" customHeight="true" outlineLevel="0" collapsed="false">
      <c r="B59" s="42" t="n">
        <v>54</v>
      </c>
      <c r="C59" s="43" t="n">
        <f aca="false">F58</f>
        <v>2198381516</v>
      </c>
      <c r="D59" s="43" t="n">
        <f aca="false">MOD(D58+O59,4294967296)</f>
        <v>1327195175</v>
      </c>
      <c r="E59" s="43" t="n">
        <f aca="false">D58</f>
        <v>2011094832</v>
      </c>
      <c r="F59" s="43" t="n">
        <f aca="false">E58</f>
        <v>4086631815</v>
      </c>
      <c r="G59" s="36" t="n">
        <f aca="false">((MOD(INT(MOD(INT((D58)/1),256)/2^0),2)*MOD(INT(MOD(INT(((4294967295-F58))/1),256)/2^0),2)*1+MOD(INT(MOD(INT((D58)/1),256)/2^1),2)*MOD(INT(MOD(INT(((4294967295-F58))/1),256)/2^1),2)*2+MOD(INT(MOD(INT((D58)/1),256)/2^2),2)*MOD(INT(MOD(INT(((4294967295-F58))/1),256)/2^2),2)*4+MOD(INT(MOD(INT((D58)/1),256)/2^3),2)*MOD(INT(MOD(INT(((4294967295-F58))/1),256)/2^3),2)*8+MOD(INT(MOD(INT((D58)/1),256)/2^4),2)*MOD(INT(MOD(INT(((4294967295-F58))/1),256)/2^4),2)*16+MOD(INT(MOD(INT((D58)/1),256)/2^5),2)*MOD(INT(MOD(INT(((4294967295-F58))/1),256)/2^5),2)*32+MOD(INT(MOD(INT((D58)/1),256)/2^6),2)*MOD(INT(MOD(INT(((4294967295-F58))/1),256)/2^6),2)*64+MOD(INT(MOD(INT((D58)/1),256)/2^7),2)*MOD(INT(MOD(INT(((4294967295-F58))/1),256)/2^7),2)*128)*1+(MOD(INT(MOD(INT((D58)/256),256)/2^0),2)*MOD(INT(MOD(INT(((4294967295-F58))/256),256)/2^0),2)*1+MOD(INT(MOD(INT((D58)/256),256)/2^1),2)*MOD(INT(MOD(INT(((4294967295-F58))/256),256)/2^1),2)*2+MOD(INT(MOD(INT((D58)/256),256)/2^2),2)*MOD(INT(MOD(INT(((4294967295-F58))/256),256)/2^2),2)*4+MOD(INT(MOD(INT((D58)/256),256)/2^3),2)*MOD(INT(MOD(INT(((4294967295-F58))/256),256)/2^3),2)*8+MOD(INT(MOD(INT((D58)/256),256)/2^4),2)*MOD(INT(MOD(INT(((4294967295-F58))/256),256)/2^4),2)*16+MOD(INT(MOD(INT((D58)/256),256)/2^5),2)*MOD(INT(MOD(INT(((4294967295-F58))/256),256)/2^5),2)*32+MOD(INT(MOD(INT((D58)/256),256)/2^6),2)*MOD(INT(MOD(INT(((4294967295-F58))/256),256)/2^6),2)*64+MOD(INT(MOD(INT((D58)/256),256)/2^7),2)*MOD(INT(MOD(INT(((4294967295-F58))/256),256)/2^7),2)*128)*256+(MOD(INT(MOD(INT((D58)/65536),256)/2^0),2)*MOD(INT(MOD(INT(((4294967295-F58))/65536),256)/2^0),2)*1+MOD(INT(MOD(INT((D58)/65536),256)/2^1),2)*MOD(INT(MOD(INT(((4294967295-F58))/65536),256)/2^1),2)*2+MOD(INT(MOD(INT((D58)/65536),256)/2^2),2)*MOD(INT(MOD(INT(((4294967295-F58))/65536),256)/2^2),2)*4+MOD(INT(MOD(INT((D58)/65536),256)/2^3),2)*MOD(INT(MOD(INT(((4294967295-F58))/65536),256)/2^3),2)*8+MOD(INT(MOD(INT((D58)/65536),256)/2^4),2)*MOD(INT(MOD(INT(((4294967295-F58))/65536),256)/2^4),2)*16+MOD(INT(MOD(INT((D58)/65536),256)/2^5),2)*MOD(INT(MOD(INT(((4294967295-F58))/65536),256)/2^5),2)*32+MOD(INT(MOD(INT((D58)/65536),256)/2^6),2)*MOD(INT(MOD(INT(((4294967295-F58))/65536),256)/2^6),2)*64+MOD(INT(MOD(INT((D58)/65536),256)/2^7),2)*MOD(INT(MOD(INT(((4294967295-F58))/65536),256)/2^7),2)*128)*65536+(MOD(INT(MOD(INT((D58)/16777216),256)/2^0),2)*MOD(INT(MOD(INT(((4294967295-F58))/16777216),256)/2^0),2)*1+MOD(INT(MOD(INT((D58)/16777216),256)/2^1),2)*MOD(INT(MOD(INT(((4294967295-F58))/16777216),256)/2^1),2)*2+MOD(INT(MOD(INT((D58)/16777216),256)/2^2),2)*MOD(INT(MOD(INT(((4294967295-F58))/16777216),256)/2^2),2)*4+MOD(INT(MOD(INT((D58)/16777216),256)/2^3),2)*MOD(INT(MOD(INT(((4294967295-F58))/16777216),256)/2^3),2)*8+MOD(INT(MOD(INT((D58)/16777216),256)/2^4),2)*MOD(INT(MOD(INT(((4294967295-F58))/16777216),256)/2^4),2)*16+MOD(INT(MOD(INT((D58)/16777216),256)/2^5),2)*MOD(INT(MOD(INT(((4294967295-F58))/16777216),256)/2^5),2)*32+MOD(INT(MOD(INT((D58)/16777216),256)/2^6),2)*MOD(INT(MOD(INT(((4294967295-F58))/16777216),256)/2^6),2)*64+MOD(INT(MOD(INT((D58)/16777216),256)/2^7),2)*MOD(INT(MOD(INT(((4294967295-F58))/16777216),256)/2^7),2)*128)*16777216)</f>
        <v>1960205360</v>
      </c>
      <c r="H59" s="36" t="n">
        <f aca="false">MOD(D58+(4294967295-F58)-G59,4294967296)</f>
        <v>2147475251</v>
      </c>
      <c r="I59" s="36" t="n">
        <f aca="false">((MOD(INT(MOD(INT((E58)/1),256)/2^0),2)*MOD(INT(MOD(INT((H59)/1),256)/2^0),2)*1+MOD(INT(MOD(INT((E58)/1),256)/2^1),2)*MOD(INT(MOD(INT((H59)/1),256)/2^1),2)*2+MOD(INT(MOD(INT((E58)/1),256)/2^2),2)*MOD(INT(MOD(INT((H59)/1),256)/2^2),2)*4+MOD(INT(MOD(INT((E58)/1),256)/2^3),2)*MOD(INT(MOD(INT((H59)/1),256)/2^3),2)*8+MOD(INT(MOD(INT((E58)/1),256)/2^4),2)*MOD(INT(MOD(INT((H59)/1),256)/2^4),2)*16+MOD(INT(MOD(INT((E58)/1),256)/2^5),2)*MOD(INT(MOD(INT((H59)/1),256)/2^5),2)*32+MOD(INT(MOD(INT((E58)/1),256)/2^6),2)*MOD(INT(MOD(INT((H59)/1),256)/2^6),2)*64+MOD(INT(MOD(INT((E58)/1),256)/2^7),2)*MOD(INT(MOD(INT((H59)/1),256)/2^7),2)*128)*1+(MOD(INT(MOD(INT((E58)/256),256)/2^0),2)*MOD(INT(MOD(INT((H59)/256),256)/2^0),2)*1+MOD(INT(MOD(INT((E58)/256),256)/2^1),2)*MOD(INT(MOD(INT((H59)/256),256)/2^1),2)*2+MOD(INT(MOD(INT((E58)/256),256)/2^2),2)*MOD(INT(MOD(INT((H59)/256),256)/2^2),2)*4+MOD(INT(MOD(INT((E58)/256),256)/2^3),2)*MOD(INT(MOD(INT((H59)/256),256)/2^3),2)*8+MOD(INT(MOD(INT((E58)/256),256)/2^4),2)*MOD(INT(MOD(INT((H59)/256),256)/2^4),2)*16+MOD(INT(MOD(INT((E58)/256),256)/2^5),2)*MOD(INT(MOD(INT((H59)/256),256)/2^5),2)*32+MOD(INT(MOD(INT((E58)/256),256)/2^6),2)*MOD(INT(MOD(INT((H59)/256),256)/2^6),2)*64+MOD(INT(MOD(INT((E58)/256),256)/2^7),2)*MOD(INT(MOD(INT((H59)/256),256)/2^7),2)*128)*256+(MOD(INT(MOD(INT((E58)/65536),256)/2^0),2)*MOD(INT(MOD(INT((H59)/65536),256)/2^0),2)*1+MOD(INT(MOD(INT((E58)/65536),256)/2^1),2)*MOD(INT(MOD(INT((H59)/65536),256)/2^1),2)*2+MOD(INT(MOD(INT((E58)/65536),256)/2^2),2)*MOD(INT(MOD(INT((H59)/65536),256)/2^2),2)*4+MOD(INT(MOD(INT((E58)/65536),256)/2^3),2)*MOD(INT(MOD(INT((H59)/65536),256)/2^3),2)*8+MOD(INT(MOD(INT((E58)/65536),256)/2^4),2)*MOD(INT(MOD(INT((H59)/65536),256)/2^4),2)*16+MOD(INT(MOD(INT((E58)/65536),256)/2^5),2)*MOD(INT(MOD(INT((H59)/65536),256)/2^5),2)*32+MOD(INT(MOD(INT((E58)/65536),256)/2^6),2)*MOD(INT(MOD(INT((H59)/65536),256)/2^6),2)*64+MOD(INT(MOD(INT((E58)/65536),256)/2^7),2)*MOD(INT(MOD(INT((H59)/65536),256)/2^7),2)*128)*65536+(MOD(INT(MOD(INT((E58)/16777216),256)/2^0),2)*MOD(INT(MOD(INT((H59)/16777216),256)/2^0),2)*1+MOD(INT(MOD(INT((E58)/16777216),256)/2^1),2)*MOD(INT(MOD(INT((H59)/16777216),256)/2^1),2)*2+MOD(INT(MOD(INT((E58)/16777216),256)/2^2),2)*MOD(INT(MOD(INT((H59)/16777216),256)/2^2),2)*4+MOD(INT(MOD(INT((E58)/16777216),256)/2^3),2)*MOD(INT(MOD(INT((H59)/16777216),256)/2^3),2)*8+MOD(INT(MOD(INT((E58)/16777216),256)/2^4),2)*MOD(INT(MOD(INT((H59)/16777216),256)/2^4),2)*16+MOD(INT(MOD(INT((E58)/16777216),256)/2^5),2)*MOD(INT(MOD(INT((H59)/16777216),256)/2^5),2)*32+MOD(INT(MOD(INT((E58)/16777216),256)/2^6),2)*MOD(INT(MOD(INT((H59)/16777216),256)/2^6),2)*64+MOD(INT(MOD(INT((E58)/16777216),256)/2^7),2)*MOD(INT(MOD(INT((H59)/16777216),256)/2^7),2)*128)*16777216)</f>
        <v>1939148035</v>
      </c>
      <c r="J59" s="43" t="n">
        <f aca="false">MOD(E58+H59-2*I59,4294967296)</f>
        <v>2355810996</v>
      </c>
      <c r="K59" s="36" t="n">
        <f aca="false">(0)+(0)*256+(0)*65536+(0)*16777216</f>
        <v>0</v>
      </c>
      <c r="L59" s="36" t="n">
        <f aca="false">'📦 MD5 Constants'!C57</f>
        <v>2399980690</v>
      </c>
      <c r="M59" s="36" t="n">
        <f aca="false">'📦 MD5 Constants'!H57</f>
        <v>10</v>
      </c>
      <c r="N59" s="36" t="n">
        <f aca="false">MOD(C58+J59+K59+'📦 MD5 Constants'!C57,4294967296)</f>
        <v>1039519521</v>
      </c>
      <c r="O59" s="36" t="n">
        <f aca="false">MOD(MOD(N59,2^22)*2^10+INT(N59/2^22),4294967296)</f>
        <v>3611067639</v>
      </c>
      <c r="P59" s="43" t="n">
        <f aca="false">D59</f>
        <v>1327195175</v>
      </c>
      <c r="Q59" s="34" t="s">
        <v>192</v>
      </c>
    </row>
    <row r="60" customFormat="false" ht="13.5" hidden="false" customHeight="true" outlineLevel="0" collapsed="false">
      <c r="B60" s="42" t="n">
        <v>55</v>
      </c>
      <c r="C60" s="43" t="n">
        <f aca="false">F59</f>
        <v>4086631815</v>
      </c>
      <c r="D60" s="43" t="n">
        <f aca="false">MOD(D59+O60,4294967296)</f>
        <v>803717621</v>
      </c>
      <c r="E60" s="43" t="n">
        <f aca="false">D59</f>
        <v>1327195175</v>
      </c>
      <c r="F60" s="43" t="n">
        <f aca="false">E59</f>
        <v>2011094832</v>
      </c>
      <c r="G60" s="36" t="n">
        <f aca="false">((MOD(INT(MOD(INT((D59)/1),256)/2^0),2)*MOD(INT(MOD(INT(((4294967295-F59))/1),256)/2^0),2)*1+MOD(INT(MOD(INT((D59)/1),256)/2^1),2)*MOD(INT(MOD(INT(((4294967295-F59))/1),256)/2^1),2)*2+MOD(INT(MOD(INT((D59)/1),256)/2^2),2)*MOD(INT(MOD(INT(((4294967295-F59))/1),256)/2^2),2)*4+MOD(INT(MOD(INT((D59)/1),256)/2^3),2)*MOD(INT(MOD(INT(((4294967295-F59))/1),256)/2^3),2)*8+MOD(INT(MOD(INT((D59)/1),256)/2^4),2)*MOD(INT(MOD(INT(((4294967295-F59))/1),256)/2^4),2)*16+MOD(INT(MOD(INT((D59)/1),256)/2^5),2)*MOD(INT(MOD(INT(((4294967295-F59))/1),256)/2^5),2)*32+MOD(INT(MOD(INT((D59)/1),256)/2^6),2)*MOD(INT(MOD(INT(((4294967295-F59))/1),256)/2^6),2)*64+MOD(INT(MOD(INT((D59)/1),256)/2^7),2)*MOD(INT(MOD(INT(((4294967295-F59))/1),256)/2^7),2)*128)*1+(MOD(INT(MOD(INT((D59)/256),256)/2^0),2)*MOD(INT(MOD(INT(((4294967295-F59))/256),256)/2^0),2)*1+MOD(INT(MOD(INT((D59)/256),256)/2^1),2)*MOD(INT(MOD(INT(((4294967295-F59))/256),256)/2^1),2)*2+MOD(INT(MOD(INT((D59)/256),256)/2^2),2)*MOD(INT(MOD(INT(((4294967295-F59))/256),256)/2^2),2)*4+MOD(INT(MOD(INT((D59)/256),256)/2^3),2)*MOD(INT(MOD(INT(((4294967295-F59))/256),256)/2^3),2)*8+MOD(INT(MOD(INT((D59)/256),256)/2^4),2)*MOD(INT(MOD(INT(((4294967295-F59))/256),256)/2^4),2)*16+MOD(INT(MOD(INT((D59)/256),256)/2^5),2)*MOD(INT(MOD(INT(((4294967295-F59))/256),256)/2^5),2)*32+MOD(INT(MOD(INT((D59)/256),256)/2^6),2)*MOD(INT(MOD(INT(((4294967295-F59))/256),256)/2^6),2)*64+MOD(INT(MOD(INT((D59)/256),256)/2^7),2)*MOD(INT(MOD(INT(((4294967295-F59))/256),256)/2^7),2)*128)*256+(MOD(INT(MOD(INT((D59)/65536),256)/2^0),2)*MOD(INT(MOD(INT(((4294967295-F59))/65536),256)/2^0),2)*1+MOD(INT(MOD(INT((D59)/65536),256)/2^1),2)*MOD(INT(MOD(INT(((4294967295-F59))/65536),256)/2^1),2)*2+MOD(INT(MOD(INT((D59)/65536),256)/2^2),2)*MOD(INT(MOD(INT(((4294967295-F59))/65536),256)/2^2),2)*4+MOD(INT(MOD(INT((D59)/65536),256)/2^3),2)*MOD(INT(MOD(INT(((4294967295-F59))/65536),256)/2^3),2)*8+MOD(INT(MOD(INT((D59)/65536),256)/2^4),2)*MOD(INT(MOD(INT(((4294967295-F59))/65536),256)/2^4),2)*16+MOD(INT(MOD(INT((D59)/65536),256)/2^5),2)*MOD(INT(MOD(INT(((4294967295-F59))/65536),256)/2^5),2)*32+MOD(INT(MOD(INT((D59)/65536),256)/2^6),2)*MOD(INT(MOD(INT(((4294967295-F59))/65536),256)/2^6),2)*64+MOD(INT(MOD(INT((D59)/65536),256)/2^7),2)*MOD(INT(MOD(INT(((4294967295-F59))/65536),256)/2^7),2)*128)*65536+(MOD(INT(MOD(INT((D59)/16777216),256)/2^0),2)*MOD(INT(MOD(INT(((4294967295-F59))/16777216),256)/2^0),2)*1+MOD(INT(MOD(INT((D59)/16777216),256)/2^1),2)*MOD(INT(MOD(INT(((4294967295-F59))/16777216),256)/2^1),2)*2+MOD(INT(MOD(INT((D59)/16777216),256)/2^2),2)*MOD(INT(MOD(INT(((4294967295-F59))/16777216),256)/2^2),2)*4+MOD(INT(MOD(INT((D59)/16777216),256)/2^3),2)*MOD(INT(MOD(INT(((4294967295-F59))/16777216),256)/2^3),2)*8+MOD(INT(MOD(INT((D59)/16777216),256)/2^4),2)*MOD(INT(MOD(INT(((4294967295-F59))/16777216),256)/2^4),2)*16+MOD(INT(MOD(INT((D59)/16777216),256)/2^5),2)*MOD(INT(MOD(INT(((4294967295-F59))/16777216),256)/2^5),2)*32+MOD(INT(MOD(INT((D59)/16777216),256)/2^6),2)*MOD(INT(MOD(INT(((4294967295-F59))/16777216),256)/2^6),2)*64+MOD(INT(MOD(INT((D59)/16777216),256)/2^7),2)*MOD(INT(MOD(INT(((4294967295-F59))/16777216),256)/2^7),2)*128)*16777216)</f>
        <v>202006560</v>
      </c>
      <c r="H60" s="36" t="n">
        <f aca="false">MOD(D59+(4294967295-F59)-G60,4294967296)</f>
        <v>1333524095</v>
      </c>
      <c r="I60" s="36" t="n">
        <f aca="false">((MOD(INT(MOD(INT((E59)/1),256)/2^0),2)*MOD(INT(MOD(INT((H60)/1),256)/2^0),2)*1+MOD(INT(MOD(INT((E59)/1),256)/2^1),2)*MOD(INT(MOD(INT((H60)/1),256)/2^1),2)*2+MOD(INT(MOD(INT((E59)/1),256)/2^2),2)*MOD(INT(MOD(INT((H60)/1),256)/2^2),2)*4+MOD(INT(MOD(INT((E59)/1),256)/2^3),2)*MOD(INT(MOD(INT((H60)/1),256)/2^3),2)*8+MOD(INT(MOD(INT((E59)/1),256)/2^4),2)*MOD(INT(MOD(INT((H60)/1),256)/2^4),2)*16+MOD(INT(MOD(INT((E59)/1),256)/2^5),2)*MOD(INT(MOD(INT((H60)/1),256)/2^5),2)*32+MOD(INT(MOD(INT((E59)/1),256)/2^6),2)*MOD(INT(MOD(INT((H60)/1),256)/2^6),2)*64+MOD(INT(MOD(INT((E59)/1),256)/2^7),2)*MOD(INT(MOD(INT((H60)/1),256)/2^7),2)*128)*1+(MOD(INT(MOD(INT((E59)/256),256)/2^0),2)*MOD(INT(MOD(INT((H60)/256),256)/2^0),2)*1+MOD(INT(MOD(INT((E59)/256),256)/2^1),2)*MOD(INT(MOD(INT((H60)/256),256)/2^1),2)*2+MOD(INT(MOD(INT((E59)/256),256)/2^2),2)*MOD(INT(MOD(INT((H60)/256),256)/2^2),2)*4+MOD(INT(MOD(INT((E59)/256),256)/2^3),2)*MOD(INT(MOD(INT((H60)/256),256)/2^3),2)*8+MOD(INT(MOD(INT((E59)/256),256)/2^4),2)*MOD(INT(MOD(INT((H60)/256),256)/2^4),2)*16+MOD(INT(MOD(INT((E59)/256),256)/2^5),2)*MOD(INT(MOD(INT((H60)/256),256)/2^5),2)*32+MOD(INT(MOD(INT((E59)/256),256)/2^6),2)*MOD(INT(MOD(INT((H60)/256),256)/2^6),2)*64+MOD(INT(MOD(INT((E59)/256),256)/2^7),2)*MOD(INT(MOD(INT((H60)/256),256)/2^7),2)*128)*256+(MOD(INT(MOD(INT((E59)/65536),256)/2^0),2)*MOD(INT(MOD(INT((H60)/65536),256)/2^0),2)*1+MOD(INT(MOD(INT((E59)/65536),256)/2^1),2)*MOD(INT(MOD(INT((H60)/65536),256)/2^1),2)*2+MOD(INT(MOD(INT((E59)/65536),256)/2^2),2)*MOD(INT(MOD(INT((H60)/65536),256)/2^2),2)*4+MOD(INT(MOD(INT((E59)/65536),256)/2^3),2)*MOD(INT(MOD(INT((H60)/65536),256)/2^3),2)*8+MOD(INT(MOD(INT((E59)/65536),256)/2^4),2)*MOD(INT(MOD(INT((H60)/65536),256)/2^4),2)*16+MOD(INT(MOD(INT((E59)/65536),256)/2^5),2)*MOD(INT(MOD(INT((H60)/65536),256)/2^5),2)*32+MOD(INT(MOD(INT((E59)/65536),256)/2^6),2)*MOD(INT(MOD(INT((H60)/65536),256)/2^6),2)*64+MOD(INT(MOD(INT((E59)/65536),256)/2^7),2)*MOD(INT(MOD(INT((H60)/65536),256)/2^7),2)*128)*65536+(MOD(INT(MOD(INT((E59)/16777216),256)/2^0),2)*MOD(INT(MOD(INT((H60)/16777216),256)/2^0),2)*1+MOD(INT(MOD(INT((E59)/16777216),256)/2^1),2)*MOD(INT(MOD(INT((H60)/16777216),256)/2^1),2)*2+MOD(INT(MOD(INT((E59)/16777216),256)/2^2),2)*MOD(INT(MOD(INT((H60)/16777216),256)/2^2),2)*4+MOD(INT(MOD(INT((E59)/16777216),256)/2^3),2)*MOD(INT(MOD(INT((H60)/16777216),256)/2^3),2)*8+MOD(INT(MOD(INT((E59)/16777216),256)/2^4),2)*MOD(INT(MOD(INT((H60)/16777216),256)/2^4),2)*16+MOD(INT(MOD(INT((E59)/16777216),256)/2^5),2)*MOD(INT(MOD(INT((H60)/16777216),256)/2^5),2)*32+MOD(INT(MOD(INT((E59)/16777216),256)/2^6),2)*MOD(INT(MOD(INT((H60)/16777216),256)/2^6),2)*64+MOD(INT(MOD(INT((E59)/16777216),256)/2^7),2)*MOD(INT(MOD(INT((H60)/16777216),256)/2^7),2)*128)*16777216)</f>
        <v>1197135408</v>
      </c>
      <c r="J60" s="43" t="n">
        <f aca="false">MOD(E59+H60-2*I60,4294967296)</f>
        <v>950348111</v>
      </c>
      <c r="K60" s="36" t="n">
        <f aca="false">(0)+(0)*256+(0)*65536+(0)*16777216</f>
        <v>0</v>
      </c>
      <c r="L60" s="36" t="n">
        <f aca="false">'📦 MD5 Constants'!C58</f>
        <v>4293915773</v>
      </c>
      <c r="M60" s="36" t="n">
        <f aca="false">'📦 MD5 Constants'!H58</f>
        <v>15</v>
      </c>
      <c r="N60" s="36" t="n">
        <f aca="false">MOD(C59+J60+K60+'📦 MD5 Constants'!C58,4294967296)</f>
        <v>3147678104</v>
      </c>
      <c r="O60" s="36" t="n">
        <f aca="false">MOD(MOD(N60,2^17)*2^15+INT(N60/2^17),4294967296)</f>
        <v>3771489742</v>
      </c>
      <c r="P60" s="43" t="n">
        <f aca="false">D60</f>
        <v>803717621</v>
      </c>
      <c r="Q60" s="34" t="s">
        <v>193</v>
      </c>
    </row>
    <row r="61" customFormat="false" ht="13.5" hidden="false" customHeight="true" outlineLevel="0" collapsed="false">
      <c r="B61" s="42" t="n">
        <v>56</v>
      </c>
      <c r="C61" s="43" t="n">
        <f aca="false">F60</f>
        <v>2011094832</v>
      </c>
      <c r="D61" s="43" t="n">
        <f aca="false">MOD(D60+O61,4294967296)</f>
        <v>1674773699</v>
      </c>
      <c r="E61" s="43" t="n">
        <f aca="false">D60</f>
        <v>803717621</v>
      </c>
      <c r="F61" s="43" t="n">
        <f aca="false">E60</f>
        <v>1327195175</v>
      </c>
      <c r="G61" s="36" t="n">
        <f aca="false">((MOD(INT(MOD(INT((D60)/1),256)/2^0),2)*MOD(INT(MOD(INT(((4294967295-F60))/1),256)/2^0),2)*1+MOD(INT(MOD(INT((D60)/1),256)/2^1),2)*MOD(INT(MOD(INT(((4294967295-F60))/1),256)/2^1),2)*2+MOD(INT(MOD(INT((D60)/1),256)/2^2),2)*MOD(INT(MOD(INT(((4294967295-F60))/1),256)/2^2),2)*4+MOD(INT(MOD(INT((D60)/1),256)/2^3),2)*MOD(INT(MOD(INT(((4294967295-F60))/1),256)/2^3),2)*8+MOD(INT(MOD(INT((D60)/1),256)/2^4),2)*MOD(INT(MOD(INT(((4294967295-F60))/1),256)/2^4),2)*16+MOD(INT(MOD(INT((D60)/1),256)/2^5),2)*MOD(INT(MOD(INT(((4294967295-F60))/1),256)/2^5),2)*32+MOD(INT(MOD(INT((D60)/1),256)/2^6),2)*MOD(INT(MOD(INT(((4294967295-F60))/1),256)/2^6),2)*64+MOD(INT(MOD(INT((D60)/1),256)/2^7),2)*MOD(INT(MOD(INT(((4294967295-F60))/1),256)/2^7),2)*128)*1+(MOD(INT(MOD(INT((D60)/256),256)/2^0),2)*MOD(INT(MOD(INT(((4294967295-F60))/256),256)/2^0),2)*1+MOD(INT(MOD(INT((D60)/256),256)/2^1),2)*MOD(INT(MOD(INT(((4294967295-F60))/256),256)/2^1),2)*2+MOD(INT(MOD(INT((D60)/256),256)/2^2),2)*MOD(INT(MOD(INT(((4294967295-F60))/256),256)/2^2),2)*4+MOD(INT(MOD(INT((D60)/256),256)/2^3),2)*MOD(INT(MOD(INT(((4294967295-F60))/256),256)/2^3),2)*8+MOD(INT(MOD(INT((D60)/256),256)/2^4),2)*MOD(INT(MOD(INT(((4294967295-F60))/256),256)/2^4),2)*16+MOD(INT(MOD(INT((D60)/256),256)/2^5),2)*MOD(INT(MOD(INT(((4294967295-F60))/256),256)/2^5),2)*32+MOD(INT(MOD(INT((D60)/256),256)/2^6),2)*MOD(INT(MOD(INT(((4294967295-F60))/256),256)/2^6),2)*64+MOD(INT(MOD(INT((D60)/256),256)/2^7),2)*MOD(INT(MOD(INT(((4294967295-F60))/256),256)/2^7),2)*128)*256+(MOD(INT(MOD(INT((D60)/65536),256)/2^0),2)*MOD(INT(MOD(INT(((4294967295-F60))/65536),256)/2^0),2)*1+MOD(INT(MOD(INT((D60)/65536),256)/2^1),2)*MOD(INT(MOD(INT(((4294967295-F60))/65536),256)/2^1),2)*2+MOD(INT(MOD(INT((D60)/65536),256)/2^2),2)*MOD(INT(MOD(INT(((4294967295-F60))/65536),256)/2^2),2)*4+MOD(INT(MOD(INT((D60)/65536),256)/2^3),2)*MOD(INT(MOD(INT(((4294967295-F60))/65536),256)/2^3),2)*8+MOD(INT(MOD(INT((D60)/65536),256)/2^4),2)*MOD(INT(MOD(INT(((4294967295-F60))/65536),256)/2^4),2)*16+MOD(INT(MOD(INT((D60)/65536),256)/2^5),2)*MOD(INT(MOD(INT(((4294967295-F60))/65536),256)/2^5),2)*32+MOD(INT(MOD(INT((D60)/65536),256)/2^6),2)*MOD(INT(MOD(INT(((4294967295-F60))/65536),256)/2^6),2)*64+MOD(INT(MOD(INT((D60)/65536),256)/2^7),2)*MOD(INT(MOD(INT(((4294967295-F60))/65536),256)/2^7),2)*128)*65536+(MOD(INT(MOD(INT((D60)/16777216),256)/2^0),2)*MOD(INT(MOD(INT(((4294967295-F60))/16777216),256)/2^0),2)*1+MOD(INT(MOD(INT((D60)/16777216),256)/2^1),2)*MOD(INT(MOD(INT(((4294967295-F60))/16777216),256)/2^1),2)*2+MOD(INT(MOD(INT((D60)/16777216),256)/2^2),2)*MOD(INT(MOD(INT(((4294967295-F60))/16777216),256)/2^2),2)*4+MOD(INT(MOD(INT((D60)/16777216),256)/2^3),2)*MOD(INT(MOD(INT(((4294967295-F60))/16777216),256)/2^3),2)*8+MOD(INT(MOD(INT((D60)/16777216),256)/2^4),2)*MOD(INT(MOD(INT(((4294967295-F60))/16777216),256)/2^4),2)*16+MOD(INT(MOD(INT((D60)/16777216),256)/2^5),2)*MOD(INT(MOD(INT(((4294967295-F60))/16777216),256)/2^5),2)*32+MOD(INT(MOD(INT((D60)/16777216),256)/2^6),2)*MOD(INT(MOD(INT(((4294967295-F60))/16777216),256)/2^6),2)*64+MOD(INT(MOD(INT((D60)/16777216),256)/2^7),2)*MOD(INT(MOD(INT(((4294967295-F60))/16777216),256)/2^7),2)*128)*16777216)</f>
        <v>136380613</v>
      </c>
      <c r="H61" s="36" t="n">
        <f aca="false">MOD(D60+(4294967295-F60)-G61,4294967296)</f>
        <v>2951209471</v>
      </c>
      <c r="I61" s="36" t="n">
        <f aca="false">((MOD(INT(MOD(INT((E60)/1),256)/2^0),2)*MOD(INT(MOD(INT((H61)/1),256)/2^0),2)*1+MOD(INT(MOD(INT((E60)/1),256)/2^1),2)*MOD(INT(MOD(INT((H61)/1),256)/2^1),2)*2+MOD(INT(MOD(INT((E60)/1),256)/2^2),2)*MOD(INT(MOD(INT((H61)/1),256)/2^2),2)*4+MOD(INT(MOD(INT((E60)/1),256)/2^3),2)*MOD(INT(MOD(INT((H61)/1),256)/2^3),2)*8+MOD(INT(MOD(INT((E60)/1),256)/2^4),2)*MOD(INT(MOD(INT((H61)/1),256)/2^4),2)*16+MOD(INT(MOD(INT((E60)/1),256)/2^5),2)*MOD(INT(MOD(INT((H61)/1),256)/2^5),2)*32+MOD(INT(MOD(INT((E60)/1),256)/2^6),2)*MOD(INT(MOD(INT((H61)/1),256)/2^6),2)*64+MOD(INT(MOD(INT((E60)/1),256)/2^7),2)*MOD(INT(MOD(INT((H61)/1),256)/2^7),2)*128)*1+(MOD(INT(MOD(INT((E60)/256),256)/2^0),2)*MOD(INT(MOD(INT((H61)/256),256)/2^0),2)*1+MOD(INT(MOD(INT((E60)/256),256)/2^1),2)*MOD(INT(MOD(INT((H61)/256),256)/2^1),2)*2+MOD(INT(MOD(INT((E60)/256),256)/2^2),2)*MOD(INT(MOD(INT((H61)/256),256)/2^2),2)*4+MOD(INT(MOD(INT((E60)/256),256)/2^3),2)*MOD(INT(MOD(INT((H61)/256),256)/2^3),2)*8+MOD(INT(MOD(INT((E60)/256),256)/2^4),2)*MOD(INT(MOD(INT((H61)/256),256)/2^4),2)*16+MOD(INT(MOD(INT((E60)/256),256)/2^5),2)*MOD(INT(MOD(INT((H61)/256),256)/2^5),2)*32+MOD(INT(MOD(INT((E60)/256),256)/2^6),2)*MOD(INT(MOD(INT((H61)/256),256)/2^6),2)*64+MOD(INT(MOD(INT((E60)/256),256)/2^7),2)*MOD(INT(MOD(INT((H61)/256),256)/2^7),2)*128)*256+(MOD(INT(MOD(INT((E60)/65536),256)/2^0),2)*MOD(INT(MOD(INT((H61)/65536),256)/2^0),2)*1+MOD(INT(MOD(INT((E60)/65536),256)/2^1),2)*MOD(INT(MOD(INT((H61)/65536),256)/2^1),2)*2+MOD(INT(MOD(INT((E60)/65536),256)/2^2),2)*MOD(INT(MOD(INT((H61)/65536),256)/2^2),2)*4+MOD(INT(MOD(INT((E60)/65536),256)/2^3),2)*MOD(INT(MOD(INT((H61)/65536),256)/2^3),2)*8+MOD(INT(MOD(INT((E60)/65536),256)/2^4),2)*MOD(INT(MOD(INT((H61)/65536),256)/2^4),2)*16+MOD(INT(MOD(INT((E60)/65536),256)/2^5),2)*MOD(INT(MOD(INT((H61)/65536),256)/2^5),2)*32+MOD(INT(MOD(INT((E60)/65536),256)/2^6),2)*MOD(INT(MOD(INT((H61)/65536),256)/2^6),2)*64+MOD(INT(MOD(INT((E60)/65536),256)/2^7),2)*MOD(INT(MOD(INT((H61)/65536),256)/2^7),2)*128)*65536+(MOD(INT(MOD(INT((E60)/16777216),256)/2^0),2)*MOD(INT(MOD(INT((H61)/16777216),256)/2^0),2)*1+MOD(INT(MOD(INT((E60)/16777216),256)/2^1),2)*MOD(INT(MOD(INT((H61)/16777216),256)/2^1),2)*2+MOD(INT(MOD(INT((E60)/16777216),256)/2^2),2)*MOD(INT(MOD(INT((H61)/16777216),256)/2^2),2)*4+MOD(INT(MOD(INT((E60)/16777216),256)/2^3),2)*MOD(INT(MOD(INT((H61)/16777216),256)/2^3),2)*8+MOD(INT(MOD(INT((E60)/16777216),256)/2^4),2)*MOD(INT(MOD(INT((H61)/16777216),256)/2^4),2)*16+MOD(INT(MOD(INT((E60)/16777216),256)/2^5),2)*MOD(INT(MOD(INT((H61)/16777216),256)/2^5),2)*32+MOD(INT(MOD(INT((E60)/16777216),256)/2^6),2)*MOD(INT(MOD(INT((H61)/16777216),256)/2^6),2)*64+MOD(INT(MOD(INT((E60)/16777216),256)/2^7),2)*MOD(INT(MOD(INT((H61)/16777216),256)/2^7),2)*128)*16777216)</f>
        <v>251879463</v>
      </c>
      <c r="J61" s="43" t="n">
        <f aca="false">MOD(E60+H61-2*I61,4294967296)</f>
        <v>3774645720</v>
      </c>
      <c r="K61" s="36" t="n">
        <f aca="false">(IF(LEN('🔐 MD5'!B5)&gt;4,CODE(MID('🔐 MD5'!B5,5,1)),IF(LEN('🔐 MD5'!B5)=4,128,0)))+(IF(LEN('🔐 MD5'!B5)&gt;5,CODE(MID('🔐 MD5'!B5,6,1)),IF(LEN('🔐 MD5'!B5)=5,128,0)))*256+(IF(LEN('🔐 MD5'!B5)&gt;6,CODE(MID('🔐 MD5'!B5,7,1)),IF(LEN('🔐 MD5'!B5)=6,128,0)))*65536+(IF(LEN('🔐 MD5'!B5)=7,128,0))*16777216</f>
        <v>32879</v>
      </c>
      <c r="L61" s="36" t="n">
        <f aca="false">'📦 MD5 Constants'!C59</f>
        <v>2240044497</v>
      </c>
      <c r="M61" s="36" t="n">
        <f aca="false">'📦 MD5 Constants'!H59</f>
        <v>21</v>
      </c>
      <c r="N61" s="36" t="n">
        <f aca="false">MOD(C60+J61+K61+'📦 MD5 Constants'!C59,4294967296)</f>
        <v>1511420319</v>
      </c>
      <c r="O61" s="36" t="n">
        <f aca="false">MOD(MOD(N61,2^11)*2^21+INT(N61/2^11),4294967296)</f>
        <v>871056078</v>
      </c>
      <c r="P61" s="43" t="n">
        <f aca="false">D61</f>
        <v>1674773699</v>
      </c>
      <c r="Q61" s="34" t="s">
        <v>194</v>
      </c>
    </row>
    <row r="62" customFormat="false" ht="13.5" hidden="false" customHeight="true" outlineLevel="0" collapsed="false">
      <c r="B62" s="42" t="n">
        <v>57</v>
      </c>
      <c r="C62" s="43" t="n">
        <f aca="false">F61</f>
        <v>1327195175</v>
      </c>
      <c r="D62" s="43" t="n">
        <f aca="false">MOD(D61+O62,4294967296)</f>
        <v>1237446707</v>
      </c>
      <c r="E62" s="43" t="n">
        <f aca="false">D61</f>
        <v>1674773699</v>
      </c>
      <c r="F62" s="43" t="n">
        <f aca="false">E61</f>
        <v>803717621</v>
      </c>
      <c r="G62" s="36" t="n">
        <f aca="false">((MOD(INT(MOD(INT((D61)/1),256)/2^0),2)*MOD(INT(MOD(INT(((4294967295-F61))/1),256)/2^0),2)*1+MOD(INT(MOD(INT((D61)/1),256)/2^1),2)*MOD(INT(MOD(INT(((4294967295-F61))/1),256)/2^1),2)*2+MOD(INT(MOD(INT((D61)/1),256)/2^2),2)*MOD(INT(MOD(INT(((4294967295-F61))/1),256)/2^2),2)*4+MOD(INT(MOD(INT((D61)/1),256)/2^3),2)*MOD(INT(MOD(INT(((4294967295-F61))/1),256)/2^3),2)*8+MOD(INT(MOD(INT((D61)/1),256)/2^4),2)*MOD(INT(MOD(INT(((4294967295-F61))/1),256)/2^4),2)*16+MOD(INT(MOD(INT((D61)/1),256)/2^5),2)*MOD(INT(MOD(INT(((4294967295-F61))/1),256)/2^5),2)*32+MOD(INT(MOD(INT((D61)/1),256)/2^6),2)*MOD(INT(MOD(INT(((4294967295-F61))/1),256)/2^6),2)*64+MOD(INT(MOD(INT((D61)/1),256)/2^7),2)*MOD(INT(MOD(INT(((4294967295-F61))/1),256)/2^7),2)*128)*1+(MOD(INT(MOD(INT((D61)/256),256)/2^0),2)*MOD(INT(MOD(INT(((4294967295-F61))/256),256)/2^0),2)*1+MOD(INT(MOD(INT((D61)/256),256)/2^1),2)*MOD(INT(MOD(INT(((4294967295-F61))/256),256)/2^1),2)*2+MOD(INT(MOD(INT((D61)/256),256)/2^2),2)*MOD(INT(MOD(INT(((4294967295-F61))/256),256)/2^2),2)*4+MOD(INT(MOD(INT((D61)/256),256)/2^3),2)*MOD(INT(MOD(INT(((4294967295-F61))/256),256)/2^3),2)*8+MOD(INT(MOD(INT((D61)/256),256)/2^4),2)*MOD(INT(MOD(INT(((4294967295-F61))/256),256)/2^4),2)*16+MOD(INT(MOD(INT((D61)/256),256)/2^5),2)*MOD(INT(MOD(INT(((4294967295-F61))/256),256)/2^5),2)*32+MOD(INT(MOD(INT((D61)/256),256)/2^6),2)*MOD(INT(MOD(INT(((4294967295-F61))/256),256)/2^6),2)*64+MOD(INT(MOD(INT((D61)/256),256)/2^7),2)*MOD(INT(MOD(INT(((4294967295-F61))/256),256)/2^7),2)*128)*256+(MOD(INT(MOD(INT((D61)/65536),256)/2^0),2)*MOD(INT(MOD(INT(((4294967295-F61))/65536),256)/2^0),2)*1+MOD(INT(MOD(INT((D61)/65536),256)/2^1),2)*MOD(INT(MOD(INT(((4294967295-F61))/65536),256)/2^1),2)*2+MOD(INT(MOD(INT((D61)/65536),256)/2^2),2)*MOD(INT(MOD(INT(((4294967295-F61))/65536),256)/2^2),2)*4+MOD(INT(MOD(INT((D61)/65536),256)/2^3),2)*MOD(INT(MOD(INT(((4294967295-F61))/65536),256)/2^3),2)*8+MOD(INT(MOD(INT((D61)/65536),256)/2^4),2)*MOD(INT(MOD(INT(((4294967295-F61))/65536),256)/2^4),2)*16+MOD(INT(MOD(INT((D61)/65536),256)/2^5),2)*MOD(INT(MOD(INT(((4294967295-F61))/65536),256)/2^5),2)*32+MOD(INT(MOD(INT((D61)/65536),256)/2^6),2)*MOD(INT(MOD(INT(((4294967295-F61))/65536),256)/2^6),2)*64+MOD(INT(MOD(INT((D61)/65536),256)/2^7),2)*MOD(INT(MOD(INT(((4294967295-F61))/65536),256)/2^7),2)*128)*65536+(MOD(INT(MOD(INT((D61)/16777216),256)/2^0),2)*MOD(INT(MOD(INT(((4294967295-F61))/16777216),256)/2^0),2)*1+MOD(INT(MOD(INT((D61)/16777216),256)/2^1),2)*MOD(INT(MOD(INT(((4294967295-F61))/16777216),256)/2^1),2)*2+MOD(INT(MOD(INT((D61)/16777216),256)/2^2),2)*MOD(INT(MOD(INT(((4294967295-F61))/16777216),256)/2^2),2)*4+MOD(INT(MOD(INT((D61)/16777216),256)/2^3),2)*MOD(INT(MOD(INT(((4294967295-F61))/16777216),256)/2^3),2)*8+MOD(INT(MOD(INT((D61)/16777216),256)/2^4),2)*MOD(INT(MOD(INT(((4294967295-F61))/16777216),256)/2^4),2)*16+MOD(INT(MOD(INT((D61)/16777216),256)/2^5),2)*MOD(INT(MOD(INT(((4294967295-F61))/16777216),256)/2^5),2)*32+MOD(INT(MOD(INT((D61)/16777216),256)/2^6),2)*MOD(INT(MOD(INT(((4294967295-F61))/16777216),256)/2^6),2)*64+MOD(INT(MOD(INT((D61)/16777216),256)/2^7),2)*MOD(INT(MOD(INT(((4294967295-F61))/16777216),256)/2^7),2)*128)*16777216)</f>
        <v>549454016</v>
      </c>
      <c r="H62" s="36" t="n">
        <f aca="false">MOD(D61+(4294967295-F61)-G62,4294967296)</f>
        <v>4093091803</v>
      </c>
      <c r="I62" s="36" t="n">
        <f aca="false">((MOD(INT(MOD(INT((E61)/1),256)/2^0),2)*MOD(INT(MOD(INT((H62)/1),256)/2^0),2)*1+MOD(INT(MOD(INT((E61)/1),256)/2^1),2)*MOD(INT(MOD(INT((H62)/1),256)/2^1),2)*2+MOD(INT(MOD(INT((E61)/1),256)/2^2),2)*MOD(INT(MOD(INT((H62)/1),256)/2^2),2)*4+MOD(INT(MOD(INT((E61)/1),256)/2^3),2)*MOD(INT(MOD(INT((H62)/1),256)/2^3),2)*8+MOD(INT(MOD(INT((E61)/1),256)/2^4),2)*MOD(INT(MOD(INT((H62)/1),256)/2^4),2)*16+MOD(INT(MOD(INT((E61)/1),256)/2^5),2)*MOD(INT(MOD(INT((H62)/1),256)/2^5),2)*32+MOD(INT(MOD(INT((E61)/1),256)/2^6),2)*MOD(INT(MOD(INT((H62)/1),256)/2^6),2)*64+MOD(INT(MOD(INT((E61)/1),256)/2^7),2)*MOD(INT(MOD(INT((H62)/1),256)/2^7),2)*128)*1+(MOD(INT(MOD(INT((E61)/256),256)/2^0),2)*MOD(INT(MOD(INT((H62)/256),256)/2^0),2)*1+MOD(INT(MOD(INT((E61)/256),256)/2^1),2)*MOD(INT(MOD(INT((H62)/256),256)/2^1),2)*2+MOD(INT(MOD(INT((E61)/256),256)/2^2),2)*MOD(INT(MOD(INT((H62)/256),256)/2^2),2)*4+MOD(INT(MOD(INT((E61)/256),256)/2^3),2)*MOD(INT(MOD(INT((H62)/256),256)/2^3),2)*8+MOD(INT(MOD(INT((E61)/256),256)/2^4),2)*MOD(INT(MOD(INT((H62)/256),256)/2^4),2)*16+MOD(INT(MOD(INT((E61)/256),256)/2^5),2)*MOD(INT(MOD(INT((H62)/256),256)/2^5),2)*32+MOD(INT(MOD(INT((E61)/256),256)/2^6),2)*MOD(INT(MOD(INT((H62)/256),256)/2^6),2)*64+MOD(INT(MOD(INT((E61)/256),256)/2^7),2)*MOD(INT(MOD(INT((H62)/256),256)/2^7),2)*128)*256+(MOD(INT(MOD(INT((E61)/65536),256)/2^0),2)*MOD(INT(MOD(INT((H62)/65536),256)/2^0),2)*1+MOD(INT(MOD(INT((E61)/65536),256)/2^1),2)*MOD(INT(MOD(INT((H62)/65536),256)/2^1),2)*2+MOD(INT(MOD(INT((E61)/65536),256)/2^2),2)*MOD(INT(MOD(INT((H62)/65536),256)/2^2),2)*4+MOD(INT(MOD(INT((E61)/65536),256)/2^3),2)*MOD(INT(MOD(INT((H62)/65536),256)/2^3),2)*8+MOD(INT(MOD(INT((E61)/65536),256)/2^4),2)*MOD(INT(MOD(INT((H62)/65536),256)/2^4),2)*16+MOD(INT(MOD(INT((E61)/65536),256)/2^5),2)*MOD(INT(MOD(INT((H62)/65536),256)/2^5),2)*32+MOD(INT(MOD(INT((E61)/65536),256)/2^6),2)*MOD(INT(MOD(INT((H62)/65536),256)/2^6),2)*64+MOD(INT(MOD(INT((E61)/65536),256)/2^7),2)*MOD(INT(MOD(INT((H62)/65536),256)/2^7),2)*128)*65536+(MOD(INT(MOD(INT((E61)/16777216),256)/2^0),2)*MOD(INT(MOD(INT((H62)/16777216),256)/2^0),2)*1+MOD(INT(MOD(INT((E61)/16777216),256)/2^1),2)*MOD(INT(MOD(INT((H62)/16777216),256)/2^1),2)*2+MOD(INT(MOD(INT((E61)/16777216),256)/2^2),2)*MOD(INT(MOD(INT((H62)/16777216),256)/2^2),2)*4+MOD(INT(MOD(INT((E61)/16777216),256)/2^3),2)*MOD(INT(MOD(INT((H62)/16777216),256)/2^3),2)*8+MOD(INT(MOD(INT((E61)/16777216),256)/2^4),2)*MOD(INT(MOD(INT((H62)/16777216),256)/2^4),2)*16+MOD(INT(MOD(INT((E61)/16777216),256)/2^5),2)*MOD(INT(MOD(INT((H62)/16777216),256)/2^5),2)*32+MOD(INT(MOD(INT((E61)/16777216),256)/2^6),2)*MOD(INT(MOD(INT((H62)/16777216),256)/2^6),2)*64+MOD(INT(MOD(INT((E61)/16777216),256)/2^7),2)*MOD(INT(MOD(INT((H62)/16777216),256)/2^7),2)*128)*16777216)</f>
        <v>602374609</v>
      </c>
      <c r="J62" s="43" t="n">
        <f aca="false">MOD(E61+H62-2*I62,4294967296)</f>
        <v>3692060206</v>
      </c>
      <c r="K62" s="36" t="n">
        <f aca="false">(0)+(0)*256+(0)*65536+(0)*16777216</f>
        <v>0</v>
      </c>
      <c r="L62" s="36" t="n">
        <f aca="false">'📦 MD5 Constants'!C60</f>
        <v>1873313359</v>
      </c>
      <c r="M62" s="36" t="n">
        <f aca="false">'📦 MD5 Constants'!H60</f>
        <v>6</v>
      </c>
      <c r="N62" s="36" t="n">
        <f aca="false">MOD(C61+J62+K62+'📦 MD5 Constants'!C60,4294967296)</f>
        <v>3281501101</v>
      </c>
      <c r="O62" s="36" t="n">
        <f aca="false">MOD(MOD(N62,2^26)*2^6+INT(N62/2^26),4294967296)</f>
        <v>3857640304</v>
      </c>
      <c r="P62" s="43" t="n">
        <f aca="false">D62</f>
        <v>1237446707</v>
      </c>
      <c r="Q62" s="34" t="s">
        <v>195</v>
      </c>
    </row>
    <row r="63" customFormat="false" ht="13.5" hidden="false" customHeight="true" outlineLevel="0" collapsed="false">
      <c r="B63" s="42" t="n">
        <v>58</v>
      </c>
      <c r="C63" s="43" t="n">
        <f aca="false">F62</f>
        <v>803717621</v>
      </c>
      <c r="D63" s="43" t="n">
        <f aca="false">MOD(D62+O63,4294967296)</f>
        <v>2530864208</v>
      </c>
      <c r="E63" s="43" t="n">
        <f aca="false">D62</f>
        <v>1237446707</v>
      </c>
      <c r="F63" s="43" t="n">
        <f aca="false">E62</f>
        <v>1674773699</v>
      </c>
      <c r="G63" s="36" t="n">
        <f aca="false">((MOD(INT(MOD(INT((D62)/1),256)/2^0),2)*MOD(INT(MOD(INT(((4294967295-F62))/1),256)/2^0),2)*1+MOD(INT(MOD(INT((D62)/1),256)/2^1),2)*MOD(INT(MOD(INT(((4294967295-F62))/1),256)/2^1),2)*2+MOD(INT(MOD(INT((D62)/1),256)/2^2),2)*MOD(INT(MOD(INT(((4294967295-F62))/1),256)/2^2),2)*4+MOD(INT(MOD(INT((D62)/1),256)/2^3),2)*MOD(INT(MOD(INT(((4294967295-F62))/1),256)/2^3),2)*8+MOD(INT(MOD(INT((D62)/1),256)/2^4),2)*MOD(INT(MOD(INT(((4294967295-F62))/1),256)/2^4),2)*16+MOD(INT(MOD(INT((D62)/1),256)/2^5),2)*MOD(INT(MOD(INT(((4294967295-F62))/1),256)/2^5),2)*32+MOD(INT(MOD(INT((D62)/1),256)/2^6),2)*MOD(INT(MOD(INT(((4294967295-F62))/1),256)/2^6),2)*64+MOD(INT(MOD(INT((D62)/1),256)/2^7),2)*MOD(INT(MOD(INT(((4294967295-F62))/1),256)/2^7),2)*128)*1+(MOD(INT(MOD(INT((D62)/256),256)/2^0),2)*MOD(INT(MOD(INT(((4294967295-F62))/256),256)/2^0),2)*1+MOD(INT(MOD(INT((D62)/256),256)/2^1),2)*MOD(INT(MOD(INT(((4294967295-F62))/256),256)/2^1),2)*2+MOD(INT(MOD(INT((D62)/256),256)/2^2),2)*MOD(INT(MOD(INT(((4294967295-F62))/256),256)/2^2),2)*4+MOD(INT(MOD(INT((D62)/256),256)/2^3),2)*MOD(INT(MOD(INT(((4294967295-F62))/256),256)/2^3),2)*8+MOD(INT(MOD(INT((D62)/256),256)/2^4),2)*MOD(INT(MOD(INT(((4294967295-F62))/256),256)/2^4),2)*16+MOD(INT(MOD(INT((D62)/256),256)/2^5),2)*MOD(INT(MOD(INT(((4294967295-F62))/256),256)/2^5),2)*32+MOD(INT(MOD(INT((D62)/256),256)/2^6),2)*MOD(INT(MOD(INT(((4294967295-F62))/256),256)/2^6),2)*64+MOD(INT(MOD(INT((D62)/256),256)/2^7),2)*MOD(INT(MOD(INT(((4294967295-F62))/256),256)/2^7),2)*128)*256+(MOD(INT(MOD(INT((D62)/65536),256)/2^0),2)*MOD(INT(MOD(INT(((4294967295-F62))/65536),256)/2^0),2)*1+MOD(INT(MOD(INT((D62)/65536),256)/2^1),2)*MOD(INT(MOD(INT(((4294967295-F62))/65536),256)/2^1),2)*2+MOD(INT(MOD(INT((D62)/65536),256)/2^2),2)*MOD(INT(MOD(INT(((4294967295-F62))/65536),256)/2^2),2)*4+MOD(INT(MOD(INT((D62)/65536),256)/2^3),2)*MOD(INT(MOD(INT(((4294967295-F62))/65536),256)/2^3),2)*8+MOD(INT(MOD(INT((D62)/65536),256)/2^4),2)*MOD(INT(MOD(INT(((4294967295-F62))/65536),256)/2^4),2)*16+MOD(INT(MOD(INT((D62)/65536),256)/2^5),2)*MOD(INT(MOD(INT(((4294967295-F62))/65536),256)/2^5),2)*32+MOD(INT(MOD(INT((D62)/65536),256)/2^6),2)*MOD(INT(MOD(INT(((4294967295-F62))/65536),256)/2^6),2)*64+MOD(INT(MOD(INT((D62)/65536),256)/2^7),2)*MOD(INT(MOD(INT(((4294967295-F62))/65536),256)/2^7),2)*128)*65536+(MOD(INT(MOD(INT((D62)/16777216),256)/2^0),2)*MOD(INT(MOD(INT(((4294967295-F62))/16777216),256)/2^0),2)*1+MOD(INT(MOD(INT((D62)/16777216),256)/2^1),2)*MOD(INT(MOD(INT(((4294967295-F62))/16777216),256)/2^1),2)*2+MOD(INT(MOD(INT((D62)/16777216),256)/2^2),2)*MOD(INT(MOD(INT(((4294967295-F62))/16777216),256)/2^2),2)*4+MOD(INT(MOD(INT((D62)/16777216),256)/2^3),2)*MOD(INT(MOD(INT(((4294967295-F62))/16777216),256)/2^3),2)*8+MOD(INT(MOD(INT((D62)/16777216),256)/2^4),2)*MOD(INT(MOD(INT(((4294967295-F62))/16777216),256)/2^4),2)*16+MOD(INT(MOD(INT((D62)/16777216),256)/2^5),2)*MOD(INT(MOD(INT(((4294967295-F62))/16777216),256)/2^5),2)*32+MOD(INT(MOD(INT((D62)/16777216),256)/2^6),2)*MOD(INT(MOD(INT(((4294967295-F62))/16777216),256)/2^6),2)*64+MOD(INT(MOD(INT((D62)/16777216),256)/2^7),2)*MOD(INT(MOD(INT(((4294967295-F62))/16777216),256)/2^7),2)*128)*16777216)</f>
        <v>1073754114</v>
      </c>
      <c r="H63" s="36" t="n">
        <f aca="false">MOD(D62+(4294967295-F62)-G63,4294967296)</f>
        <v>3654942267</v>
      </c>
      <c r="I63" s="36" t="n">
        <f aca="false">((MOD(INT(MOD(INT((E62)/1),256)/2^0),2)*MOD(INT(MOD(INT((H63)/1),256)/2^0),2)*1+MOD(INT(MOD(INT((E62)/1),256)/2^1),2)*MOD(INT(MOD(INT((H63)/1),256)/2^1),2)*2+MOD(INT(MOD(INT((E62)/1),256)/2^2),2)*MOD(INT(MOD(INT((H63)/1),256)/2^2),2)*4+MOD(INT(MOD(INT((E62)/1),256)/2^3),2)*MOD(INT(MOD(INT((H63)/1),256)/2^3),2)*8+MOD(INT(MOD(INT((E62)/1),256)/2^4),2)*MOD(INT(MOD(INT((H63)/1),256)/2^4),2)*16+MOD(INT(MOD(INT((E62)/1),256)/2^5),2)*MOD(INT(MOD(INT((H63)/1),256)/2^5),2)*32+MOD(INT(MOD(INT((E62)/1),256)/2^6),2)*MOD(INT(MOD(INT((H63)/1),256)/2^6),2)*64+MOD(INT(MOD(INT((E62)/1),256)/2^7),2)*MOD(INT(MOD(INT((H63)/1),256)/2^7),2)*128)*1+(MOD(INT(MOD(INT((E62)/256),256)/2^0),2)*MOD(INT(MOD(INT((H63)/256),256)/2^0),2)*1+MOD(INT(MOD(INT((E62)/256),256)/2^1),2)*MOD(INT(MOD(INT((H63)/256),256)/2^1),2)*2+MOD(INT(MOD(INT((E62)/256),256)/2^2),2)*MOD(INT(MOD(INT((H63)/256),256)/2^2),2)*4+MOD(INT(MOD(INT((E62)/256),256)/2^3),2)*MOD(INT(MOD(INT((H63)/256),256)/2^3),2)*8+MOD(INT(MOD(INT((E62)/256),256)/2^4),2)*MOD(INT(MOD(INT((H63)/256),256)/2^4),2)*16+MOD(INT(MOD(INT((E62)/256),256)/2^5),2)*MOD(INT(MOD(INT((H63)/256),256)/2^5),2)*32+MOD(INT(MOD(INT((E62)/256),256)/2^6),2)*MOD(INT(MOD(INT((H63)/256),256)/2^6),2)*64+MOD(INT(MOD(INT((E62)/256),256)/2^7),2)*MOD(INT(MOD(INT((H63)/256),256)/2^7),2)*128)*256+(MOD(INT(MOD(INT((E62)/65536),256)/2^0),2)*MOD(INT(MOD(INT((H63)/65536),256)/2^0),2)*1+MOD(INT(MOD(INT((E62)/65536),256)/2^1),2)*MOD(INT(MOD(INT((H63)/65536),256)/2^1),2)*2+MOD(INT(MOD(INT((E62)/65536),256)/2^2),2)*MOD(INT(MOD(INT((H63)/65536),256)/2^2),2)*4+MOD(INT(MOD(INT((E62)/65536),256)/2^3),2)*MOD(INT(MOD(INT((H63)/65536),256)/2^3),2)*8+MOD(INT(MOD(INT((E62)/65536),256)/2^4),2)*MOD(INT(MOD(INT((H63)/65536),256)/2^4),2)*16+MOD(INT(MOD(INT((E62)/65536),256)/2^5),2)*MOD(INT(MOD(INT((H63)/65536),256)/2^5),2)*32+MOD(INT(MOD(INT((E62)/65536),256)/2^6),2)*MOD(INT(MOD(INT((H63)/65536),256)/2^6),2)*64+MOD(INT(MOD(INT((E62)/65536),256)/2^7),2)*MOD(INT(MOD(INT((H63)/65536),256)/2^7),2)*128)*65536+(MOD(INT(MOD(INT((E62)/16777216),256)/2^0),2)*MOD(INT(MOD(INT((H63)/16777216),256)/2^0),2)*1+MOD(INT(MOD(INT((E62)/16777216),256)/2^1),2)*MOD(INT(MOD(INT((H63)/16777216),256)/2^1),2)*2+MOD(INT(MOD(INT((E62)/16777216),256)/2^2),2)*MOD(INT(MOD(INT((H63)/16777216),256)/2^2),2)*4+MOD(INT(MOD(INT((E62)/16777216),256)/2^3),2)*MOD(INT(MOD(INT((H63)/16777216),256)/2^3),2)*8+MOD(INT(MOD(INT((E62)/16777216),256)/2^4),2)*MOD(INT(MOD(INT((H63)/16777216),256)/2^4),2)*16+MOD(INT(MOD(INT((E62)/16777216),256)/2^5),2)*MOD(INT(MOD(INT((H63)/16777216),256)/2^5),2)*32+MOD(INT(MOD(INT((E62)/16777216),256)/2^6),2)*MOD(INT(MOD(INT((H63)/16777216),256)/2^6),2)*64+MOD(INT(MOD(INT((E62)/16777216),256)/2^7),2)*MOD(INT(MOD(INT((H63)/16777216),256)/2^7),2)*128)*16777216)</f>
        <v>1104217091</v>
      </c>
      <c r="J63" s="43" t="n">
        <f aca="false">MOD(E62+H63-2*I63,4294967296)</f>
        <v>3121281784</v>
      </c>
      <c r="K63" s="36" t="n">
        <f aca="false">(0)+(0)*256+(0)*65536+(0)*16777216</f>
        <v>0</v>
      </c>
      <c r="L63" s="36" t="n">
        <f aca="false">'📦 MD5 Constants'!C61</f>
        <v>4264355552</v>
      </c>
      <c r="M63" s="36" t="n">
        <f aca="false">'📦 MD5 Constants'!H61</f>
        <v>10</v>
      </c>
      <c r="N63" s="36" t="n">
        <f aca="false">MOD(C62+J63+K63+'📦 MD5 Constants'!C61,4294967296)</f>
        <v>122897919</v>
      </c>
      <c r="O63" s="36" t="n">
        <f aca="false">MOD(MOD(N63,2^22)*2^10+INT(N63/2^22),4294967296)</f>
        <v>1293417501</v>
      </c>
      <c r="P63" s="43" t="n">
        <f aca="false">D63</f>
        <v>2530864208</v>
      </c>
      <c r="Q63" s="34" t="s">
        <v>196</v>
      </c>
    </row>
    <row r="64" customFormat="false" ht="13.5" hidden="false" customHeight="true" outlineLevel="0" collapsed="false">
      <c r="B64" s="42" t="n">
        <v>59</v>
      </c>
      <c r="C64" s="43" t="n">
        <f aca="false">F63</f>
        <v>1674773699</v>
      </c>
      <c r="D64" s="43" t="n">
        <f aca="false">MOD(D63+O64,4294967296)</f>
        <v>554058082</v>
      </c>
      <c r="E64" s="43" t="n">
        <f aca="false">D63</f>
        <v>2530864208</v>
      </c>
      <c r="F64" s="43" t="n">
        <f aca="false">E63</f>
        <v>1237446707</v>
      </c>
      <c r="G64" s="36" t="n">
        <f aca="false">((MOD(INT(MOD(INT((D63)/1),256)/2^0),2)*MOD(INT(MOD(INT(((4294967295-F63))/1),256)/2^0),2)*1+MOD(INT(MOD(INT((D63)/1),256)/2^1),2)*MOD(INT(MOD(INT(((4294967295-F63))/1),256)/2^1),2)*2+MOD(INT(MOD(INT((D63)/1),256)/2^2),2)*MOD(INT(MOD(INT(((4294967295-F63))/1),256)/2^2),2)*4+MOD(INT(MOD(INT((D63)/1),256)/2^3),2)*MOD(INT(MOD(INT(((4294967295-F63))/1),256)/2^3),2)*8+MOD(INT(MOD(INT((D63)/1),256)/2^4),2)*MOD(INT(MOD(INT(((4294967295-F63))/1),256)/2^4),2)*16+MOD(INT(MOD(INT((D63)/1),256)/2^5),2)*MOD(INT(MOD(INT(((4294967295-F63))/1),256)/2^5),2)*32+MOD(INT(MOD(INT((D63)/1),256)/2^6),2)*MOD(INT(MOD(INT(((4294967295-F63))/1),256)/2^6),2)*64+MOD(INT(MOD(INT((D63)/1),256)/2^7),2)*MOD(INT(MOD(INT(((4294967295-F63))/1),256)/2^7),2)*128)*1+(MOD(INT(MOD(INT((D63)/256),256)/2^0),2)*MOD(INT(MOD(INT(((4294967295-F63))/256),256)/2^0),2)*1+MOD(INT(MOD(INT((D63)/256),256)/2^1),2)*MOD(INT(MOD(INT(((4294967295-F63))/256),256)/2^1),2)*2+MOD(INT(MOD(INT((D63)/256),256)/2^2),2)*MOD(INT(MOD(INT(((4294967295-F63))/256),256)/2^2),2)*4+MOD(INT(MOD(INT((D63)/256),256)/2^3),2)*MOD(INT(MOD(INT(((4294967295-F63))/256),256)/2^3),2)*8+MOD(INT(MOD(INT((D63)/256),256)/2^4),2)*MOD(INT(MOD(INT(((4294967295-F63))/256),256)/2^4),2)*16+MOD(INT(MOD(INT((D63)/256),256)/2^5),2)*MOD(INT(MOD(INT(((4294967295-F63))/256),256)/2^5),2)*32+MOD(INT(MOD(INT((D63)/256),256)/2^6),2)*MOD(INT(MOD(INT(((4294967295-F63))/256),256)/2^6),2)*64+MOD(INT(MOD(INT((D63)/256),256)/2^7),2)*MOD(INT(MOD(INT(((4294967295-F63))/256),256)/2^7),2)*128)*256+(MOD(INT(MOD(INT((D63)/65536),256)/2^0),2)*MOD(INT(MOD(INT(((4294967295-F63))/65536),256)/2^0),2)*1+MOD(INT(MOD(INT((D63)/65536),256)/2^1),2)*MOD(INT(MOD(INT(((4294967295-F63))/65536),256)/2^1),2)*2+MOD(INT(MOD(INT((D63)/65536),256)/2^2),2)*MOD(INT(MOD(INT(((4294967295-F63))/65536),256)/2^2),2)*4+MOD(INT(MOD(INT((D63)/65536),256)/2^3),2)*MOD(INT(MOD(INT(((4294967295-F63))/65536),256)/2^3),2)*8+MOD(INT(MOD(INT((D63)/65536),256)/2^4),2)*MOD(INT(MOD(INT(((4294967295-F63))/65536),256)/2^4),2)*16+MOD(INT(MOD(INT((D63)/65536),256)/2^5),2)*MOD(INT(MOD(INT(((4294967295-F63))/65536),256)/2^5),2)*32+MOD(INT(MOD(INT((D63)/65536),256)/2^6),2)*MOD(INT(MOD(INT(((4294967295-F63))/65536),256)/2^6),2)*64+MOD(INT(MOD(INT((D63)/65536),256)/2^7),2)*MOD(INT(MOD(INT(((4294967295-F63))/65536),256)/2^7),2)*128)*65536+(MOD(INT(MOD(INT((D63)/16777216),256)/2^0),2)*MOD(INT(MOD(INT(((4294967295-F63))/16777216),256)/2^0),2)*1+MOD(INT(MOD(INT((D63)/16777216),256)/2^1),2)*MOD(INT(MOD(INT(((4294967295-F63))/16777216),256)/2^1),2)*2+MOD(INT(MOD(INT((D63)/16777216),256)/2^2),2)*MOD(INT(MOD(INT(((4294967295-F63))/16777216),256)/2^2),2)*4+MOD(INT(MOD(INT((D63)/16777216),256)/2^3),2)*MOD(INT(MOD(INT(((4294967295-F63))/16777216),256)/2^3),2)*8+MOD(INT(MOD(INT((D63)/16777216),256)/2^4),2)*MOD(INT(MOD(INT(((4294967295-F63))/16777216),256)/2^4),2)*16+MOD(INT(MOD(INT((D63)/16777216),256)/2^5),2)*MOD(INT(MOD(INT(((4294967295-F63))/16777216),256)/2^5),2)*32+MOD(INT(MOD(INT((D63)/16777216),256)/2^6),2)*MOD(INT(MOD(INT(((4294967295-F63))/16777216),256)/2^6),2)*64+MOD(INT(MOD(INT((D63)/16777216),256)/2^7),2)*MOD(INT(MOD(INT(((4294967295-F63))/16777216),256)/2^7),2)*128)*16777216)</f>
        <v>2483611664</v>
      </c>
      <c r="H64" s="36" t="n">
        <f aca="false">MOD(D63+(4294967295-F63)-G64,4294967296)</f>
        <v>2667446140</v>
      </c>
      <c r="I64" s="36" t="n">
        <f aca="false">((MOD(INT(MOD(INT((E63)/1),256)/2^0),2)*MOD(INT(MOD(INT((H64)/1),256)/2^0),2)*1+MOD(INT(MOD(INT((E63)/1),256)/2^1),2)*MOD(INT(MOD(INT((H64)/1),256)/2^1),2)*2+MOD(INT(MOD(INT((E63)/1),256)/2^2),2)*MOD(INT(MOD(INT((H64)/1),256)/2^2),2)*4+MOD(INT(MOD(INT((E63)/1),256)/2^3),2)*MOD(INT(MOD(INT((H64)/1),256)/2^3),2)*8+MOD(INT(MOD(INT((E63)/1),256)/2^4),2)*MOD(INT(MOD(INT((H64)/1),256)/2^4),2)*16+MOD(INT(MOD(INT((E63)/1),256)/2^5),2)*MOD(INT(MOD(INT((H64)/1),256)/2^5),2)*32+MOD(INT(MOD(INT((E63)/1),256)/2^6),2)*MOD(INT(MOD(INT((H64)/1),256)/2^6),2)*64+MOD(INT(MOD(INT((E63)/1),256)/2^7),2)*MOD(INT(MOD(INT((H64)/1),256)/2^7),2)*128)*1+(MOD(INT(MOD(INT((E63)/256),256)/2^0),2)*MOD(INT(MOD(INT((H64)/256),256)/2^0),2)*1+MOD(INT(MOD(INT((E63)/256),256)/2^1),2)*MOD(INT(MOD(INT((H64)/256),256)/2^1),2)*2+MOD(INT(MOD(INT((E63)/256),256)/2^2),2)*MOD(INT(MOD(INT((H64)/256),256)/2^2),2)*4+MOD(INT(MOD(INT((E63)/256),256)/2^3),2)*MOD(INT(MOD(INT((H64)/256),256)/2^3),2)*8+MOD(INT(MOD(INT((E63)/256),256)/2^4),2)*MOD(INT(MOD(INT((H64)/256),256)/2^4),2)*16+MOD(INT(MOD(INT((E63)/256),256)/2^5),2)*MOD(INT(MOD(INT((H64)/256),256)/2^5),2)*32+MOD(INT(MOD(INT((E63)/256),256)/2^6),2)*MOD(INT(MOD(INT((H64)/256),256)/2^6),2)*64+MOD(INT(MOD(INT((E63)/256),256)/2^7),2)*MOD(INT(MOD(INT((H64)/256),256)/2^7),2)*128)*256+(MOD(INT(MOD(INT((E63)/65536),256)/2^0),2)*MOD(INT(MOD(INT((H64)/65536),256)/2^0),2)*1+MOD(INT(MOD(INT((E63)/65536),256)/2^1),2)*MOD(INT(MOD(INT((H64)/65536),256)/2^1),2)*2+MOD(INT(MOD(INT((E63)/65536),256)/2^2),2)*MOD(INT(MOD(INT((H64)/65536),256)/2^2),2)*4+MOD(INT(MOD(INT((E63)/65536),256)/2^3),2)*MOD(INT(MOD(INT((H64)/65536),256)/2^3),2)*8+MOD(INT(MOD(INT((E63)/65536),256)/2^4),2)*MOD(INT(MOD(INT((H64)/65536),256)/2^4),2)*16+MOD(INT(MOD(INT((E63)/65536),256)/2^5),2)*MOD(INT(MOD(INT((H64)/65536),256)/2^5),2)*32+MOD(INT(MOD(INT((E63)/65536),256)/2^6),2)*MOD(INT(MOD(INT((H64)/65536),256)/2^6),2)*64+MOD(INT(MOD(INT((E63)/65536),256)/2^7),2)*MOD(INT(MOD(INT((H64)/65536),256)/2^7),2)*128)*65536+(MOD(INT(MOD(INT((E63)/16777216),256)/2^0),2)*MOD(INT(MOD(INT((H64)/16777216),256)/2^0),2)*1+MOD(INT(MOD(INT((E63)/16777216),256)/2^1),2)*MOD(INT(MOD(INT((H64)/16777216),256)/2^1),2)*2+MOD(INT(MOD(INT((E63)/16777216),256)/2^2),2)*MOD(INT(MOD(INT((H64)/16777216),256)/2^2),2)*4+MOD(INT(MOD(INT((E63)/16777216),256)/2^3),2)*MOD(INT(MOD(INT((H64)/16777216),256)/2^3),2)*8+MOD(INT(MOD(INT((E63)/16777216),256)/2^4),2)*MOD(INT(MOD(INT((H64)/16777216),256)/2^4),2)*16+MOD(INT(MOD(INT((E63)/16777216),256)/2^5),2)*MOD(INT(MOD(INT((H64)/16777216),256)/2^5),2)*32+MOD(INT(MOD(INT((E63)/16777216),256)/2^6),2)*MOD(INT(MOD(INT((H64)/16777216),256)/2^6),2)*64+MOD(INT(MOD(INT((E63)/16777216),256)/2^7),2)*MOD(INT(MOD(INT((H64)/16777216),256)/2^7),2)*128)*16777216)</f>
        <v>146927664</v>
      </c>
      <c r="J64" s="43" t="n">
        <f aca="false">MOD(E63+H64-2*I64,4294967296)</f>
        <v>3611037519</v>
      </c>
      <c r="K64" s="36" t="n">
        <f aca="false">(0)+(0)*256+(0)*65536+(0)*16777216</f>
        <v>0</v>
      </c>
      <c r="L64" s="36" t="n">
        <f aca="false">'📦 MD5 Constants'!C62</f>
        <v>2734768916</v>
      </c>
      <c r="M64" s="36" t="n">
        <f aca="false">'📦 MD5 Constants'!H62</f>
        <v>15</v>
      </c>
      <c r="N64" s="36" t="n">
        <f aca="false">MOD(C63+J64+K64+'📦 MD5 Constants'!C62,4294967296)</f>
        <v>2854556760</v>
      </c>
      <c r="O64" s="36" t="n">
        <f aca="false">MOD(MOD(N64,2^17)*2^15+INT(N64/2^17),4294967296)</f>
        <v>2318161170</v>
      </c>
      <c r="P64" s="43" t="n">
        <f aca="false">D64</f>
        <v>554058082</v>
      </c>
      <c r="Q64" s="34" t="s">
        <v>197</v>
      </c>
    </row>
    <row r="65" customFormat="false" ht="13.5" hidden="false" customHeight="true" outlineLevel="0" collapsed="false">
      <c r="B65" s="42" t="n">
        <v>60</v>
      </c>
      <c r="C65" s="43" t="n">
        <f aca="false">F64</f>
        <v>1237446707</v>
      </c>
      <c r="D65" s="43" t="n">
        <f aca="false">MOD(D64+O65,4294967296)</f>
        <v>1700837817</v>
      </c>
      <c r="E65" s="43" t="n">
        <f aca="false">D64</f>
        <v>554058082</v>
      </c>
      <c r="F65" s="43" t="n">
        <f aca="false">E64</f>
        <v>2530864208</v>
      </c>
      <c r="G65" s="36" t="n">
        <f aca="false">((MOD(INT(MOD(INT((D64)/1),256)/2^0),2)*MOD(INT(MOD(INT(((4294967295-F64))/1),256)/2^0),2)*1+MOD(INT(MOD(INT((D64)/1),256)/2^1),2)*MOD(INT(MOD(INT(((4294967295-F64))/1),256)/2^1),2)*2+MOD(INT(MOD(INT((D64)/1),256)/2^2),2)*MOD(INT(MOD(INT(((4294967295-F64))/1),256)/2^2),2)*4+MOD(INT(MOD(INT((D64)/1),256)/2^3),2)*MOD(INT(MOD(INT(((4294967295-F64))/1),256)/2^3),2)*8+MOD(INT(MOD(INT((D64)/1),256)/2^4),2)*MOD(INT(MOD(INT(((4294967295-F64))/1),256)/2^4),2)*16+MOD(INT(MOD(INT((D64)/1),256)/2^5),2)*MOD(INT(MOD(INT(((4294967295-F64))/1),256)/2^5),2)*32+MOD(INT(MOD(INT((D64)/1),256)/2^6),2)*MOD(INT(MOD(INT(((4294967295-F64))/1),256)/2^6),2)*64+MOD(INT(MOD(INT((D64)/1),256)/2^7),2)*MOD(INT(MOD(INT(((4294967295-F64))/1),256)/2^7),2)*128)*1+(MOD(INT(MOD(INT((D64)/256),256)/2^0),2)*MOD(INT(MOD(INT(((4294967295-F64))/256),256)/2^0),2)*1+MOD(INT(MOD(INT((D64)/256),256)/2^1),2)*MOD(INT(MOD(INT(((4294967295-F64))/256),256)/2^1),2)*2+MOD(INT(MOD(INT((D64)/256),256)/2^2),2)*MOD(INT(MOD(INT(((4294967295-F64))/256),256)/2^2),2)*4+MOD(INT(MOD(INT((D64)/256),256)/2^3),2)*MOD(INT(MOD(INT(((4294967295-F64))/256),256)/2^3),2)*8+MOD(INT(MOD(INT((D64)/256),256)/2^4),2)*MOD(INT(MOD(INT(((4294967295-F64))/256),256)/2^4),2)*16+MOD(INT(MOD(INT((D64)/256),256)/2^5),2)*MOD(INT(MOD(INT(((4294967295-F64))/256),256)/2^5),2)*32+MOD(INT(MOD(INT((D64)/256),256)/2^6),2)*MOD(INT(MOD(INT(((4294967295-F64))/256),256)/2^6),2)*64+MOD(INT(MOD(INT((D64)/256),256)/2^7),2)*MOD(INT(MOD(INT(((4294967295-F64))/256),256)/2^7),2)*128)*256+(MOD(INT(MOD(INT((D64)/65536),256)/2^0),2)*MOD(INT(MOD(INT(((4294967295-F64))/65536),256)/2^0),2)*1+MOD(INT(MOD(INT((D64)/65536),256)/2^1),2)*MOD(INT(MOD(INT(((4294967295-F64))/65536),256)/2^1),2)*2+MOD(INT(MOD(INT((D64)/65536),256)/2^2),2)*MOD(INT(MOD(INT(((4294967295-F64))/65536),256)/2^2),2)*4+MOD(INT(MOD(INT((D64)/65536),256)/2^3),2)*MOD(INT(MOD(INT(((4294967295-F64))/65536),256)/2^3),2)*8+MOD(INT(MOD(INT((D64)/65536),256)/2^4),2)*MOD(INT(MOD(INT(((4294967295-F64))/65536),256)/2^4),2)*16+MOD(INT(MOD(INT((D64)/65536),256)/2^5),2)*MOD(INT(MOD(INT(((4294967295-F64))/65536),256)/2^5),2)*32+MOD(INT(MOD(INT((D64)/65536),256)/2^6),2)*MOD(INT(MOD(INT(((4294967295-F64))/65536),256)/2^6),2)*64+MOD(INT(MOD(INT((D64)/65536),256)/2^7),2)*MOD(INT(MOD(INT(((4294967295-F64))/65536),256)/2^7),2)*128)*65536+(MOD(INT(MOD(INT((D64)/16777216),256)/2^0),2)*MOD(INT(MOD(INT(((4294967295-F64))/16777216),256)/2^0),2)*1+MOD(INT(MOD(INT((D64)/16777216),256)/2^1),2)*MOD(INT(MOD(INT(((4294967295-F64))/16777216),256)/2^1),2)*2+MOD(INT(MOD(INT((D64)/16777216),256)/2^2),2)*MOD(INT(MOD(INT(((4294967295-F64))/16777216),256)/2^2),2)*4+MOD(INT(MOD(INT((D64)/16777216),256)/2^3),2)*MOD(INT(MOD(INT(((4294967295-F64))/16777216),256)/2^3),2)*8+MOD(INT(MOD(INT((D64)/16777216),256)/2^4),2)*MOD(INT(MOD(INT(((4294967295-F64))/16777216),256)/2^4),2)*16+MOD(INT(MOD(INT((D64)/16777216),256)/2^5),2)*MOD(INT(MOD(INT(((4294967295-F64))/16777216),256)/2^5),2)*32+MOD(INT(MOD(INT((D64)/16777216),256)/2^6),2)*MOD(INT(MOD(INT(((4294967295-F64))/16777216),256)/2^6),2)*64+MOD(INT(MOD(INT((D64)/16777216),256)/2^7),2)*MOD(INT(MOD(INT(((4294967295-F64))/16777216),256)/2^7),2)*128)*16777216)</f>
        <v>537264448</v>
      </c>
      <c r="H65" s="36" t="n">
        <f aca="false">MOD(D64+(4294967295-F64)-G65,4294967296)</f>
        <v>3074314222</v>
      </c>
      <c r="I65" s="36" t="n">
        <f aca="false">((MOD(INT(MOD(INT((E64)/1),256)/2^0),2)*MOD(INT(MOD(INT((H65)/1),256)/2^0),2)*1+MOD(INT(MOD(INT((E64)/1),256)/2^1),2)*MOD(INT(MOD(INT((H65)/1),256)/2^1),2)*2+MOD(INT(MOD(INT((E64)/1),256)/2^2),2)*MOD(INT(MOD(INT((H65)/1),256)/2^2),2)*4+MOD(INT(MOD(INT((E64)/1),256)/2^3),2)*MOD(INT(MOD(INT((H65)/1),256)/2^3),2)*8+MOD(INT(MOD(INT((E64)/1),256)/2^4),2)*MOD(INT(MOD(INT((H65)/1),256)/2^4),2)*16+MOD(INT(MOD(INT((E64)/1),256)/2^5),2)*MOD(INT(MOD(INT((H65)/1),256)/2^5),2)*32+MOD(INT(MOD(INT((E64)/1),256)/2^6),2)*MOD(INT(MOD(INT((H65)/1),256)/2^6),2)*64+MOD(INT(MOD(INT((E64)/1),256)/2^7),2)*MOD(INT(MOD(INT((H65)/1),256)/2^7),2)*128)*1+(MOD(INT(MOD(INT((E64)/256),256)/2^0),2)*MOD(INT(MOD(INT((H65)/256),256)/2^0),2)*1+MOD(INT(MOD(INT((E64)/256),256)/2^1),2)*MOD(INT(MOD(INT((H65)/256),256)/2^1),2)*2+MOD(INT(MOD(INT((E64)/256),256)/2^2),2)*MOD(INT(MOD(INT((H65)/256),256)/2^2),2)*4+MOD(INT(MOD(INT((E64)/256),256)/2^3),2)*MOD(INT(MOD(INT((H65)/256),256)/2^3),2)*8+MOD(INT(MOD(INT((E64)/256),256)/2^4),2)*MOD(INT(MOD(INT((H65)/256),256)/2^4),2)*16+MOD(INT(MOD(INT((E64)/256),256)/2^5),2)*MOD(INT(MOD(INT((H65)/256),256)/2^5),2)*32+MOD(INT(MOD(INT((E64)/256),256)/2^6),2)*MOD(INT(MOD(INT((H65)/256),256)/2^6),2)*64+MOD(INT(MOD(INT((E64)/256),256)/2^7),2)*MOD(INT(MOD(INT((H65)/256),256)/2^7),2)*128)*256+(MOD(INT(MOD(INT((E64)/65536),256)/2^0),2)*MOD(INT(MOD(INT((H65)/65536),256)/2^0),2)*1+MOD(INT(MOD(INT((E64)/65536),256)/2^1),2)*MOD(INT(MOD(INT((H65)/65536),256)/2^1),2)*2+MOD(INT(MOD(INT((E64)/65536),256)/2^2),2)*MOD(INT(MOD(INT((H65)/65536),256)/2^2),2)*4+MOD(INT(MOD(INT((E64)/65536),256)/2^3),2)*MOD(INT(MOD(INT((H65)/65536),256)/2^3),2)*8+MOD(INT(MOD(INT((E64)/65536),256)/2^4),2)*MOD(INT(MOD(INT((H65)/65536),256)/2^4),2)*16+MOD(INT(MOD(INT((E64)/65536),256)/2^5),2)*MOD(INT(MOD(INT((H65)/65536),256)/2^5),2)*32+MOD(INT(MOD(INT((E64)/65536),256)/2^6),2)*MOD(INT(MOD(INT((H65)/65536),256)/2^6),2)*64+MOD(INT(MOD(INT((E64)/65536),256)/2^7),2)*MOD(INT(MOD(INT((H65)/65536),256)/2^7),2)*128)*65536+(MOD(INT(MOD(INT((E64)/16777216),256)/2^0),2)*MOD(INT(MOD(INT((H65)/16777216),256)/2^0),2)*1+MOD(INT(MOD(INT((E64)/16777216),256)/2^1),2)*MOD(INT(MOD(INT((H65)/16777216),256)/2^1),2)*2+MOD(INT(MOD(INT((E64)/16777216),256)/2^2),2)*MOD(INT(MOD(INT((H65)/16777216),256)/2^2),2)*4+MOD(INT(MOD(INT((E64)/16777216),256)/2^3),2)*MOD(INT(MOD(INT((H65)/16777216),256)/2^3),2)*8+MOD(INT(MOD(INT((E64)/16777216),256)/2^4),2)*MOD(INT(MOD(INT((H65)/16777216),256)/2^4),2)*16+MOD(INT(MOD(INT((E64)/16777216),256)/2^5),2)*MOD(INT(MOD(INT((H65)/16777216),256)/2^5),2)*32+MOD(INT(MOD(INT((E64)/16777216),256)/2^6),2)*MOD(INT(MOD(INT((H65)/16777216),256)/2^6),2)*64+MOD(INT(MOD(INT((E64)/16777216),256)/2^7),2)*MOD(INT(MOD(INT((H65)/16777216),256)/2^7),2)*128)*16777216)</f>
        <v>2518174784</v>
      </c>
      <c r="J65" s="43" t="n">
        <f aca="false">MOD(E64+H65-2*I65,4294967296)</f>
        <v>568828862</v>
      </c>
      <c r="K65" s="36" t="n">
        <f aca="false">(0)+(0)*256+(0)*65536+(0)*16777216</f>
        <v>0</v>
      </c>
      <c r="L65" s="36" t="n">
        <f aca="false">'📦 MD5 Constants'!C63</f>
        <v>1309151649</v>
      </c>
      <c r="M65" s="36" t="n">
        <f aca="false">'📦 MD5 Constants'!H63</f>
        <v>21</v>
      </c>
      <c r="N65" s="36" t="n">
        <f aca="false">MOD(C64+J65+K65+'📦 MD5 Constants'!C63,4294967296)</f>
        <v>3552754210</v>
      </c>
      <c r="O65" s="36" t="n">
        <f aca="false">MOD(MOD(N65,2^11)*2^21+INT(N65/2^11),4294967296)</f>
        <v>1146779735</v>
      </c>
      <c r="P65" s="43" t="n">
        <f aca="false">D65</f>
        <v>1700837817</v>
      </c>
      <c r="Q65" s="34" t="s">
        <v>198</v>
      </c>
    </row>
    <row r="66" customFormat="false" ht="13.5" hidden="false" customHeight="true" outlineLevel="0" collapsed="false">
      <c r="B66" s="42" t="n">
        <v>61</v>
      </c>
      <c r="C66" s="43" t="n">
        <f aca="false">F65</f>
        <v>2530864208</v>
      </c>
      <c r="D66" s="43" t="n">
        <f aca="false">MOD(D65+O66,4294967296)</f>
        <v>3271237212</v>
      </c>
      <c r="E66" s="43" t="n">
        <f aca="false">D65</f>
        <v>1700837817</v>
      </c>
      <c r="F66" s="43" t="n">
        <f aca="false">E65</f>
        <v>554058082</v>
      </c>
      <c r="G66" s="36" t="n">
        <f aca="false">((MOD(INT(MOD(INT((D65)/1),256)/2^0),2)*MOD(INT(MOD(INT(((4294967295-F65))/1),256)/2^0),2)*1+MOD(INT(MOD(INT((D65)/1),256)/2^1),2)*MOD(INT(MOD(INT(((4294967295-F65))/1),256)/2^1),2)*2+MOD(INT(MOD(INT((D65)/1),256)/2^2),2)*MOD(INT(MOD(INT(((4294967295-F65))/1),256)/2^2),2)*4+MOD(INT(MOD(INT((D65)/1),256)/2^3),2)*MOD(INT(MOD(INT(((4294967295-F65))/1),256)/2^3),2)*8+MOD(INT(MOD(INT((D65)/1),256)/2^4),2)*MOD(INT(MOD(INT(((4294967295-F65))/1),256)/2^4),2)*16+MOD(INT(MOD(INT((D65)/1),256)/2^5),2)*MOD(INT(MOD(INT(((4294967295-F65))/1),256)/2^5),2)*32+MOD(INT(MOD(INT((D65)/1),256)/2^6),2)*MOD(INT(MOD(INT(((4294967295-F65))/1),256)/2^6),2)*64+MOD(INT(MOD(INT((D65)/1),256)/2^7),2)*MOD(INT(MOD(INT(((4294967295-F65))/1),256)/2^7),2)*128)*1+(MOD(INT(MOD(INT((D65)/256),256)/2^0),2)*MOD(INT(MOD(INT(((4294967295-F65))/256),256)/2^0),2)*1+MOD(INT(MOD(INT((D65)/256),256)/2^1),2)*MOD(INT(MOD(INT(((4294967295-F65))/256),256)/2^1),2)*2+MOD(INT(MOD(INT((D65)/256),256)/2^2),2)*MOD(INT(MOD(INT(((4294967295-F65))/256),256)/2^2),2)*4+MOD(INT(MOD(INT((D65)/256),256)/2^3),2)*MOD(INT(MOD(INT(((4294967295-F65))/256),256)/2^3),2)*8+MOD(INT(MOD(INT((D65)/256),256)/2^4),2)*MOD(INT(MOD(INT(((4294967295-F65))/256),256)/2^4),2)*16+MOD(INT(MOD(INT((D65)/256),256)/2^5),2)*MOD(INT(MOD(INT(((4294967295-F65))/256),256)/2^5),2)*32+MOD(INT(MOD(INT((D65)/256),256)/2^6),2)*MOD(INT(MOD(INT(((4294967295-F65))/256),256)/2^6),2)*64+MOD(INT(MOD(INT((D65)/256),256)/2^7),2)*MOD(INT(MOD(INT(((4294967295-F65))/256),256)/2^7),2)*128)*256+(MOD(INT(MOD(INT((D65)/65536),256)/2^0),2)*MOD(INT(MOD(INT(((4294967295-F65))/65536),256)/2^0),2)*1+MOD(INT(MOD(INT((D65)/65536),256)/2^1),2)*MOD(INT(MOD(INT(((4294967295-F65))/65536),256)/2^1),2)*2+MOD(INT(MOD(INT((D65)/65536),256)/2^2),2)*MOD(INT(MOD(INT(((4294967295-F65))/65536),256)/2^2),2)*4+MOD(INT(MOD(INT((D65)/65536),256)/2^3),2)*MOD(INT(MOD(INT(((4294967295-F65))/65536),256)/2^3),2)*8+MOD(INT(MOD(INT((D65)/65536),256)/2^4),2)*MOD(INT(MOD(INT(((4294967295-F65))/65536),256)/2^4),2)*16+MOD(INT(MOD(INT((D65)/65536),256)/2^5),2)*MOD(INT(MOD(INT(((4294967295-F65))/65536),256)/2^5),2)*32+MOD(INT(MOD(INT((D65)/65536),256)/2^6),2)*MOD(INT(MOD(INT(((4294967295-F65))/65536),256)/2^6),2)*64+MOD(INT(MOD(INT((D65)/65536),256)/2^7),2)*MOD(INT(MOD(INT(((4294967295-F65))/65536),256)/2^7),2)*128)*65536+(MOD(INT(MOD(INT((D65)/16777216),256)/2^0),2)*MOD(INT(MOD(INT(((4294967295-F65))/16777216),256)/2^0),2)*1+MOD(INT(MOD(INT((D65)/16777216),256)/2^1),2)*MOD(INT(MOD(INT(((4294967295-F65))/16777216),256)/2^1),2)*2+MOD(INT(MOD(INT((D65)/16777216),256)/2^2),2)*MOD(INT(MOD(INT(((4294967295-F65))/16777216),256)/2^2),2)*4+MOD(INT(MOD(INT((D65)/16777216),256)/2^3),2)*MOD(INT(MOD(INT(((4294967295-F65))/16777216),256)/2^3),2)*8+MOD(INT(MOD(INT((D65)/16777216),256)/2^4),2)*MOD(INT(MOD(INT(((4294967295-F65))/16777216),256)/2^4),2)*16+MOD(INT(MOD(INT((D65)/16777216),256)/2^5),2)*MOD(INT(MOD(INT(((4294967295-F65))/16777216),256)/2^5),2)*32+MOD(INT(MOD(INT((D65)/16777216),256)/2^6),2)*MOD(INT(MOD(INT(((4294967295-F65))/16777216),256)/2^6),2)*64+MOD(INT(MOD(INT((D65)/16777216),256)/2^7),2)*MOD(INT(MOD(INT(((4294967295-F65))/16777216),256)/2^7),2)*128)*16777216)</f>
        <v>1629491625</v>
      </c>
      <c r="H66" s="36" t="n">
        <f aca="false">MOD(D65+(4294967295-F65)-G66,4294967296)</f>
        <v>1835449279</v>
      </c>
      <c r="I66" s="36" t="n">
        <f aca="false">((MOD(INT(MOD(INT((E65)/1),256)/2^0),2)*MOD(INT(MOD(INT((H66)/1),256)/2^0),2)*1+MOD(INT(MOD(INT((E65)/1),256)/2^1),2)*MOD(INT(MOD(INT((H66)/1),256)/2^1),2)*2+MOD(INT(MOD(INT((E65)/1),256)/2^2),2)*MOD(INT(MOD(INT((H66)/1),256)/2^2),2)*4+MOD(INT(MOD(INT((E65)/1),256)/2^3),2)*MOD(INT(MOD(INT((H66)/1),256)/2^3),2)*8+MOD(INT(MOD(INT((E65)/1),256)/2^4),2)*MOD(INT(MOD(INT((H66)/1),256)/2^4),2)*16+MOD(INT(MOD(INT((E65)/1),256)/2^5),2)*MOD(INT(MOD(INT((H66)/1),256)/2^5),2)*32+MOD(INT(MOD(INT((E65)/1),256)/2^6),2)*MOD(INT(MOD(INT((H66)/1),256)/2^6),2)*64+MOD(INT(MOD(INT((E65)/1),256)/2^7),2)*MOD(INT(MOD(INT((H66)/1),256)/2^7),2)*128)*1+(MOD(INT(MOD(INT((E65)/256),256)/2^0),2)*MOD(INT(MOD(INT((H66)/256),256)/2^0),2)*1+MOD(INT(MOD(INT((E65)/256),256)/2^1),2)*MOD(INT(MOD(INT((H66)/256),256)/2^1),2)*2+MOD(INT(MOD(INT((E65)/256),256)/2^2),2)*MOD(INT(MOD(INT((H66)/256),256)/2^2),2)*4+MOD(INT(MOD(INT((E65)/256),256)/2^3),2)*MOD(INT(MOD(INT((H66)/256),256)/2^3),2)*8+MOD(INT(MOD(INT((E65)/256),256)/2^4),2)*MOD(INT(MOD(INT((H66)/256),256)/2^4),2)*16+MOD(INT(MOD(INT((E65)/256),256)/2^5),2)*MOD(INT(MOD(INT((H66)/256),256)/2^5),2)*32+MOD(INT(MOD(INT((E65)/256),256)/2^6),2)*MOD(INT(MOD(INT((H66)/256),256)/2^6),2)*64+MOD(INT(MOD(INT((E65)/256),256)/2^7),2)*MOD(INT(MOD(INT((H66)/256),256)/2^7),2)*128)*256+(MOD(INT(MOD(INT((E65)/65536),256)/2^0),2)*MOD(INT(MOD(INT((H66)/65536),256)/2^0),2)*1+MOD(INT(MOD(INT((E65)/65536),256)/2^1),2)*MOD(INT(MOD(INT((H66)/65536),256)/2^1),2)*2+MOD(INT(MOD(INT((E65)/65536),256)/2^2),2)*MOD(INT(MOD(INT((H66)/65536),256)/2^2),2)*4+MOD(INT(MOD(INT((E65)/65536),256)/2^3),2)*MOD(INT(MOD(INT((H66)/65536),256)/2^3),2)*8+MOD(INT(MOD(INT((E65)/65536),256)/2^4),2)*MOD(INT(MOD(INT((H66)/65536),256)/2^4),2)*16+MOD(INT(MOD(INT((E65)/65536),256)/2^5),2)*MOD(INT(MOD(INT((H66)/65536),256)/2^5),2)*32+MOD(INT(MOD(INT((E65)/65536),256)/2^6),2)*MOD(INT(MOD(INT((H66)/65536),256)/2^6),2)*64+MOD(INT(MOD(INT((E65)/65536),256)/2^7),2)*MOD(INT(MOD(INT((H66)/65536),256)/2^7),2)*128)*65536+(MOD(INT(MOD(INT((E65)/16777216),256)/2^0),2)*MOD(INT(MOD(INT((H66)/16777216),256)/2^0),2)*1+MOD(INT(MOD(INT((E65)/16777216),256)/2^1),2)*MOD(INT(MOD(INT((H66)/16777216),256)/2^1),2)*2+MOD(INT(MOD(INT((E65)/16777216),256)/2^2),2)*MOD(INT(MOD(INT((H66)/16777216),256)/2^2),2)*4+MOD(INT(MOD(INT((E65)/16777216),256)/2^3),2)*MOD(INT(MOD(INT((H66)/16777216),256)/2^3),2)*8+MOD(INT(MOD(INT((E65)/16777216),256)/2^4),2)*MOD(INT(MOD(INT((H66)/16777216),256)/2^4),2)*16+MOD(INT(MOD(INT((E65)/16777216),256)/2^5),2)*MOD(INT(MOD(INT((H66)/16777216),256)/2^5),2)*32+MOD(INT(MOD(INT((E65)/16777216),256)/2^6),2)*MOD(INT(MOD(INT((H66)/16777216),256)/2^6),2)*64+MOD(INT(MOD(INT((E65)/16777216),256)/2^7),2)*MOD(INT(MOD(INT((H66)/16777216),256)/2^7),2)*128)*16777216)</f>
        <v>554041634</v>
      </c>
      <c r="J66" s="43" t="n">
        <f aca="false">MOD(E65+H66-2*I66,4294967296)</f>
        <v>1281424093</v>
      </c>
      <c r="K66" s="36" t="n">
        <f aca="false">(0)+(0)*256+(0)*65536+(0)*16777216</f>
        <v>0</v>
      </c>
      <c r="L66" s="36" t="n">
        <f aca="false">'📦 MD5 Constants'!C64</f>
        <v>4149444226</v>
      </c>
      <c r="M66" s="36" t="n">
        <f aca="false">'📦 MD5 Constants'!H64</f>
        <v>6</v>
      </c>
      <c r="N66" s="36" t="n">
        <f aca="false">MOD(C65+J66+K66+'📦 MD5 Constants'!C64,4294967296)</f>
        <v>2373347730</v>
      </c>
      <c r="O66" s="36" t="n">
        <f aca="false">MOD(MOD(N66,2^26)*2^6+INT(N66/2^26),4294967296)</f>
        <v>1570399395</v>
      </c>
      <c r="P66" s="43" t="n">
        <f aca="false">D66</f>
        <v>3271237212</v>
      </c>
      <c r="Q66" s="34" t="s">
        <v>199</v>
      </c>
    </row>
    <row r="67" customFormat="false" ht="13.5" hidden="false" customHeight="true" outlineLevel="0" collapsed="false">
      <c r="B67" s="42" t="n">
        <v>62</v>
      </c>
      <c r="C67" s="43" t="n">
        <f aca="false">F66</f>
        <v>554058082</v>
      </c>
      <c r="D67" s="43" t="n">
        <f aca="false">MOD(D66+O67,4294967296)</f>
        <v>2190656154</v>
      </c>
      <c r="E67" s="43" t="n">
        <f aca="false">D66</f>
        <v>3271237212</v>
      </c>
      <c r="F67" s="43" t="n">
        <f aca="false">E66</f>
        <v>1700837817</v>
      </c>
      <c r="G67" s="36" t="n">
        <f aca="false">((MOD(INT(MOD(INT((D66)/1),256)/2^0),2)*MOD(INT(MOD(INT(((4294967295-F66))/1),256)/2^0),2)*1+MOD(INT(MOD(INT((D66)/1),256)/2^1),2)*MOD(INT(MOD(INT(((4294967295-F66))/1),256)/2^1),2)*2+MOD(INT(MOD(INT((D66)/1),256)/2^2),2)*MOD(INT(MOD(INT(((4294967295-F66))/1),256)/2^2),2)*4+MOD(INT(MOD(INT((D66)/1),256)/2^3),2)*MOD(INT(MOD(INT(((4294967295-F66))/1),256)/2^3),2)*8+MOD(INT(MOD(INT((D66)/1),256)/2^4),2)*MOD(INT(MOD(INT(((4294967295-F66))/1),256)/2^4),2)*16+MOD(INT(MOD(INT((D66)/1),256)/2^5),2)*MOD(INT(MOD(INT(((4294967295-F66))/1),256)/2^5),2)*32+MOD(INT(MOD(INT((D66)/1),256)/2^6),2)*MOD(INT(MOD(INT(((4294967295-F66))/1),256)/2^6),2)*64+MOD(INT(MOD(INT((D66)/1),256)/2^7),2)*MOD(INT(MOD(INT(((4294967295-F66))/1),256)/2^7),2)*128)*1+(MOD(INT(MOD(INT((D66)/256),256)/2^0),2)*MOD(INT(MOD(INT(((4294967295-F66))/256),256)/2^0),2)*1+MOD(INT(MOD(INT((D66)/256),256)/2^1),2)*MOD(INT(MOD(INT(((4294967295-F66))/256),256)/2^1),2)*2+MOD(INT(MOD(INT((D66)/256),256)/2^2),2)*MOD(INT(MOD(INT(((4294967295-F66))/256),256)/2^2),2)*4+MOD(INT(MOD(INT((D66)/256),256)/2^3),2)*MOD(INT(MOD(INT(((4294967295-F66))/256),256)/2^3),2)*8+MOD(INT(MOD(INT((D66)/256),256)/2^4),2)*MOD(INT(MOD(INT(((4294967295-F66))/256),256)/2^4),2)*16+MOD(INT(MOD(INT((D66)/256),256)/2^5),2)*MOD(INT(MOD(INT(((4294967295-F66))/256),256)/2^5),2)*32+MOD(INT(MOD(INT((D66)/256),256)/2^6),2)*MOD(INT(MOD(INT(((4294967295-F66))/256),256)/2^6),2)*64+MOD(INT(MOD(INT((D66)/256),256)/2^7),2)*MOD(INT(MOD(INT(((4294967295-F66))/256),256)/2^7),2)*128)*256+(MOD(INT(MOD(INT((D66)/65536),256)/2^0),2)*MOD(INT(MOD(INT(((4294967295-F66))/65536),256)/2^0),2)*1+MOD(INT(MOD(INT((D66)/65536),256)/2^1),2)*MOD(INT(MOD(INT(((4294967295-F66))/65536),256)/2^1),2)*2+MOD(INT(MOD(INT((D66)/65536),256)/2^2),2)*MOD(INT(MOD(INT(((4294967295-F66))/65536),256)/2^2),2)*4+MOD(INT(MOD(INT((D66)/65536),256)/2^3),2)*MOD(INT(MOD(INT(((4294967295-F66))/65536),256)/2^3),2)*8+MOD(INT(MOD(INT((D66)/65536),256)/2^4),2)*MOD(INT(MOD(INT(((4294967295-F66))/65536),256)/2^4),2)*16+MOD(INT(MOD(INT((D66)/65536),256)/2^5),2)*MOD(INT(MOD(INT(((4294967295-F66))/65536),256)/2^5),2)*32+MOD(INT(MOD(INT((D66)/65536),256)/2^6),2)*MOD(INT(MOD(INT(((4294967295-F66))/65536),256)/2^6),2)*64+MOD(INT(MOD(INT((D66)/65536),256)/2^7),2)*MOD(INT(MOD(INT(((4294967295-F66))/65536),256)/2^7),2)*128)*65536+(MOD(INT(MOD(INT((D66)/16777216),256)/2^0),2)*MOD(INT(MOD(INT(((4294967295-F66))/16777216),256)/2^0),2)*1+MOD(INT(MOD(INT((D66)/16777216),256)/2^1),2)*MOD(INT(MOD(INT(((4294967295-F66))/16777216),256)/2^1),2)*2+MOD(INT(MOD(INT((D66)/16777216),256)/2^2),2)*MOD(INT(MOD(INT(((4294967295-F66))/16777216),256)/2^2),2)*4+MOD(INT(MOD(INT((D66)/16777216),256)/2^3),2)*MOD(INT(MOD(INT(((4294967295-F66))/16777216),256)/2^3),2)*8+MOD(INT(MOD(INT((D66)/16777216),256)/2^4),2)*MOD(INT(MOD(INT(((4294967295-F66))/16777216),256)/2^4),2)*16+MOD(INT(MOD(INT((D66)/16777216),256)/2^5),2)*MOD(INT(MOD(INT(((4294967295-F66))/16777216),256)/2^5),2)*32+MOD(INT(MOD(INT((D66)/16777216),256)/2^6),2)*MOD(INT(MOD(INT(((4294967295-F66))/16777216),256)/2^6),2)*64+MOD(INT(MOD(INT((D66)/16777216),256)/2^7),2)*MOD(INT(MOD(INT(((4294967295-F66))/16777216),256)/2^7),2)*128)*16777216)</f>
        <v>3271106076</v>
      </c>
      <c r="H67" s="36" t="n">
        <f aca="false">MOD(D66+(4294967295-F66)-G67,4294967296)</f>
        <v>3741040349</v>
      </c>
      <c r="I67" s="36" t="n">
        <f aca="false">((MOD(INT(MOD(INT((E66)/1),256)/2^0),2)*MOD(INT(MOD(INT((H67)/1),256)/2^0),2)*1+MOD(INT(MOD(INT((E66)/1),256)/2^1),2)*MOD(INT(MOD(INT((H67)/1),256)/2^1),2)*2+MOD(INT(MOD(INT((E66)/1),256)/2^2),2)*MOD(INT(MOD(INT((H67)/1),256)/2^2),2)*4+MOD(INT(MOD(INT((E66)/1),256)/2^3),2)*MOD(INT(MOD(INT((H67)/1),256)/2^3),2)*8+MOD(INT(MOD(INT((E66)/1),256)/2^4),2)*MOD(INT(MOD(INT((H67)/1),256)/2^4),2)*16+MOD(INT(MOD(INT((E66)/1),256)/2^5),2)*MOD(INT(MOD(INT((H67)/1),256)/2^5),2)*32+MOD(INT(MOD(INT((E66)/1),256)/2^6),2)*MOD(INT(MOD(INT((H67)/1),256)/2^6),2)*64+MOD(INT(MOD(INT((E66)/1),256)/2^7),2)*MOD(INT(MOD(INT((H67)/1),256)/2^7),2)*128)*1+(MOD(INT(MOD(INT((E66)/256),256)/2^0),2)*MOD(INT(MOD(INT((H67)/256),256)/2^0),2)*1+MOD(INT(MOD(INT((E66)/256),256)/2^1),2)*MOD(INT(MOD(INT((H67)/256),256)/2^1),2)*2+MOD(INT(MOD(INT((E66)/256),256)/2^2),2)*MOD(INT(MOD(INT((H67)/256),256)/2^2),2)*4+MOD(INT(MOD(INT((E66)/256),256)/2^3),2)*MOD(INT(MOD(INT((H67)/256),256)/2^3),2)*8+MOD(INT(MOD(INT((E66)/256),256)/2^4),2)*MOD(INT(MOD(INT((H67)/256),256)/2^4),2)*16+MOD(INT(MOD(INT((E66)/256),256)/2^5),2)*MOD(INT(MOD(INT((H67)/256),256)/2^5),2)*32+MOD(INT(MOD(INT((E66)/256),256)/2^6),2)*MOD(INT(MOD(INT((H67)/256),256)/2^6),2)*64+MOD(INT(MOD(INT((E66)/256),256)/2^7),2)*MOD(INT(MOD(INT((H67)/256),256)/2^7),2)*128)*256+(MOD(INT(MOD(INT((E66)/65536),256)/2^0),2)*MOD(INT(MOD(INT((H67)/65536),256)/2^0),2)*1+MOD(INT(MOD(INT((E66)/65536),256)/2^1),2)*MOD(INT(MOD(INT((H67)/65536),256)/2^1),2)*2+MOD(INT(MOD(INT((E66)/65536),256)/2^2),2)*MOD(INT(MOD(INT((H67)/65536),256)/2^2),2)*4+MOD(INT(MOD(INT((E66)/65536),256)/2^3),2)*MOD(INT(MOD(INT((H67)/65536),256)/2^3),2)*8+MOD(INT(MOD(INT((E66)/65536),256)/2^4),2)*MOD(INT(MOD(INT((H67)/65536),256)/2^4),2)*16+MOD(INT(MOD(INT((E66)/65536),256)/2^5),2)*MOD(INT(MOD(INT((H67)/65536),256)/2^5),2)*32+MOD(INT(MOD(INT((E66)/65536),256)/2^6),2)*MOD(INT(MOD(INT((H67)/65536),256)/2^6),2)*64+MOD(INT(MOD(INT((E66)/65536),256)/2^7),2)*MOD(INT(MOD(INT((H67)/65536),256)/2^7),2)*128)*65536+(MOD(INT(MOD(INT((E66)/16777216),256)/2^0),2)*MOD(INT(MOD(INT((H67)/16777216),256)/2^0),2)*1+MOD(INT(MOD(INT((E66)/16777216),256)/2^1),2)*MOD(INT(MOD(INT((H67)/16777216),256)/2^1),2)*2+MOD(INT(MOD(INT((E66)/16777216),256)/2^2),2)*MOD(INT(MOD(INT((H67)/16777216),256)/2^2),2)*4+MOD(INT(MOD(INT((E66)/16777216),256)/2^3),2)*MOD(INT(MOD(INT((H67)/16777216),256)/2^3),2)*8+MOD(INT(MOD(INT((E66)/16777216),256)/2^4),2)*MOD(INT(MOD(INT((H67)/16777216),256)/2^4),2)*16+MOD(INT(MOD(INT((E66)/16777216),256)/2^5),2)*MOD(INT(MOD(INT((H67)/16777216),256)/2^5),2)*32+MOD(INT(MOD(INT((E66)/16777216),256)/2^6),2)*MOD(INT(MOD(INT((H67)/16777216),256)/2^6),2)*64+MOD(INT(MOD(INT((E66)/16777216),256)/2^7),2)*MOD(INT(MOD(INT((H67)/16777216),256)/2^7),2)*128)*16777216)</f>
        <v>1147189401</v>
      </c>
      <c r="J67" s="43" t="n">
        <f aca="false">MOD(E66+H67-2*I67,4294967296)</f>
        <v>3147499364</v>
      </c>
      <c r="K67" s="36" t="n">
        <f aca="false">(0)+(0)*256+(0)*65536+(0)*16777216</f>
        <v>0</v>
      </c>
      <c r="L67" s="36" t="n">
        <f aca="false">'📦 MD5 Constants'!C65</f>
        <v>3174756917</v>
      </c>
      <c r="M67" s="36" t="n">
        <f aca="false">'📦 MD5 Constants'!H65</f>
        <v>10</v>
      </c>
      <c r="N67" s="36" t="n">
        <f aca="false">MOD(C66+J67+K67+'📦 MD5 Constants'!C65,4294967296)</f>
        <v>263185897</v>
      </c>
      <c r="O67" s="36" t="n">
        <f aca="false">MOD(MOD(N67,2^22)*2^10+INT(N67/2^22),4294967296)</f>
        <v>3214386238</v>
      </c>
      <c r="P67" s="43" t="n">
        <f aca="false">D67</f>
        <v>2190656154</v>
      </c>
      <c r="Q67" s="34" t="s">
        <v>200</v>
      </c>
    </row>
    <row r="68" customFormat="false" ht="13.5" hidden="false" customHeight="true" outlineLevel="0" collapsed="false">
      <c r="B68" s="42" t="n">
        <v>63</v>
      </c>
      <c r="C68" s="43" t="n">
        <f aca="false">F67</f>
        <v>1700837817</v>
      </c>
      <c r="D68" s="43" t="n">
        <f aca="false">MOD(D67+O68,4294967296)</f>
        <v>4175598779</v>
      </c>
      <c r="E68" s="43" t="n">
        <f aca="false">D67</f>
        <v>2190656154</v>
      </c>
      <c r="F68" s="43" t="n">
        <f aca="false">E67</f>
        <v>3271237212</v>
      </c>
      <c r="G68" s="36" t="n">
        <f aca="false">((MOD(INT(MOD(INT((D67)/1),256)/2^0),2)*MOD(INT(MOD(INT(((4294967295-F67))/1),256)/2^0),2)*1+MOD(INT(MOD(INT((D67)/1),256)/2^1),2)*MOD(INT(MOD(INT(((4294967295-F67))/1),256)/2^1),2)*2+MOD(INT(MOD(INT((D67)/1),256)/2^2),2)*MOD(INT(MOD(INT(((4294967295-F67))/1),256)/2^2),2)*4+MOD(INT(MOD(INT((D67)/1),256)/2^3),2)*MOD(INT(MOD(INT(((4294967295-F67))/1),256)/2^3),2)*8+MOD(INT(MOD(INT((D67)/1),256)/2^4),2)*MOD(INT(MOD(INT(((4294967295-F67))/1),256)/2^4),2)*16+MOD(INT(MOD(INT((D67)/1),256)/2^5),2)*MOD(INT(MOD(INT(((4294967295-F67))/1),256)/2^5),2)*32+MOD(INT(MOD(INT((D67)/1),256)/2^6),2)*MOD(INT(MOD(INT(((4294967295-F67))/1),256)/2^6),2)*64+MOD(INT(MOD(INT((D67)/1),256)/2^7),2)*MOD(INT(MOD(INT(((4294967295-F67))/1),256)/2^7),2)*128)*1+(MOD(INT(MOD(INT((D67)/256),256)/2^0),2)*MOD(INT(MOD(INT(((4294967295-F67))/256),256)/2^0),2)*1+MOD(INT(MOD(INT((D67)/256),256)/2^1),2)*MOD(INT(MOD(INT(((4294967295-F67))/256),256)/2^1),2)*2+MOD(INT(MOD(INT((D67)/256),256)/2^2),2)*MOD(INT(MOD(INT(((4294967295-F67))/256),256)/2^2),2)*4+MOD(INT(MOD(INT((D67)/256),256)/2^3),2)*MOD(INT(MOD(INT(((4294967295-F67))/256),256)/2^3),2)*8+MOD(INT(MOD(INT((D67)/256),256)/2^4),2)*MOD(INT(MOD(INT(((4294967295-F67))/256),256)/2^4),2)*16+MOD(INT(MOD(INT((D67)/256),256)/2^5),2)*MOD(INT(MOD(INT(((4294967295-F67))/256),256)/2^5),2)*32+MOD(INT(MOD(INT((D67)/256),256)/2^6),2)*MOD(INT(MOD(INT(((4294967295-F67))/256),256)/2^6),2)*64+MOD(INT(MOD(INT((D67)/256),256)/2^7),2)*MOD(INT(MOD(INT(((4294967295-F67))/256),256)/2^7),2)*128)*256+(MOD(INT(MOD(INT((D67)/65536),256)/2^0),2)*MOD(INT(MOD(INT(((4294967295-F67))/65536),256)/2^0),2)*1+MOD(INT(MOD(INT((D67)/65536),256)/2^1),2)*MOD(INT(MOD(INT(((4294967295-F67))/65536),256)/2^1),2)*2+MOD(INT(MOD(INT((D67)/65536),256)/2^2),2)*MOD(INT(MOD(INT(((4294967295-F67))/65536),256)/2^2),2)*4+MOD(INT(MOD(INT((D67)/65536),256)/2^3),2)*MOD(INT(MOD(INT(((4294967295-F67))/65536),256)/2^3),2)*8+MOD(INT(MOD(INT((D67)/65536),256)/2^4),2)*MOD(INT(MOD(INT(((4294967295-F67))/65536),256)/2^4),2)*16+MOD(INT(MOD(INT((D67)/65536),256)/2^5),2)*MOD(INT(MOD(INT(((4294967295-F67))/65536),256)/2^5),2)*32+MOD(INT(MOD(INT((D67)/65536),256)/2^6),2)*MOD(INT(MOD(INT(((4294967295-F67))/65536),256)/2^6),2)*64+MOD(INT(MOD(INT((D67)/65536),256)/2^7),2)*MOD(INT(MOD(INT(((4294967295-F67))/65536),256)/2^7),2)*128)*65536+(MOD(INT(MOD(INT((D67)/16777216),256)/2^0),2)*MOD(INT(MOD(INT(((4294967295-F67))/16777216),256)/2^0),2)*1+MOD(INT(MOD(INT((D67)/16777216),256)/2^1),2)*MOD(INT(MOD(INT(((4294967295-F67))/16777216),256)/2^1),2)*2+MOD(INT(MOD(INT((D67)/16777216),256)/2^2),2)*MOD(INT(MOD(INT(((4294967295-F67))/16777216),256)/2^2),2)*4+MOD(INT(MOD(INT((D67)/16777216),256)/2^3),2)*MOD(INT(MOD(INT(((4294967295-F67))/16777216),256)/2^3),2)*8+MOD(INT(MOD(INT((D67)/16777216),256)/2^4),2)*MOD(INT(MOD(INT(((4294967295-F67))/16777216),256)/2^4),2)*16+MOD(INT(MOD(INT((D67)/16777216),256)/2^5),2)*MOD(INT(MOD(INT(((4294967295-F67))/16777216),256)/2^5),2)*32+MOD(INT(MOD(INT((D67)/16777216),256)/2^6),2)*MOD(INT(MOD(INT(((4294967295-F67))/16777216),256)/2^6),2)*64+MOD(INT(MOD(INT((D67)/16777216),256)/2^7),2)*MOD(INT(MOD(INT(((4294967295-F67))/16777216),256)/2^7),2)*128)*16777216)</f>
        <v>2190623234</v>
      </c>
      <c r="H68" s="36" t="n">
        <f aca="false">MOD(D67+(4294967295-F67)-G68,4294967296)</f>
        <v>2594162398</v>
      </c>
      <c r="I68" s="36" t="n">
        <f aca="false">((MOD(INT(MOD(INT((E67)/1),256)/2^0),2)*MOD(INT(MOD(INT((H68)/1),256)/2^0),2)*1+MOD(INT(MOD(INT((E67)/1),256)/2^1),2)*MOD(INT(MOD(INT((H68)/1),256)/2^1),2)*2+MOD(INT(MOD(INT((E67)/1),256)/2^2),2)*MOD(INT(MOD(INT((H68)/1),256)/2^2),2)*4+MOD(INT(MOD(INT((E67)/1),256)/2^3),2)*MOD(INT(MOD(INT((H68)/1),256)/2^3),2)*8+MOD(INT(MOD(INT((E67)/1),256)/2^4),2)*MOD(INT(MOD(INT((H68)/1),256)/2^4),2)*16+MOD(INT(MOD(INT((E67)/1),256)/2^5),2)*MOD(INT(MOD(INT((H68)/1),256)/2^5),2)*32+MOD(INT(MOD(INT((E67)/1),256)/2^6),2)*MOD(INT(MOD(INT((H68)/1),256)/2^6),2)*64+MOD(INT(MOD(INT((E67)/1),256)/2^7),2)*MOD(INT(MOD(INT((H68)/1),256)/2^7),2)*128)*1+(MOD(INT(MOD(INT((E67)/256),256)/2^0),2)*MOD(INT(MOD(INT((H68)/256),256)/2^0),2)*1+MOD(INT(MOD(INT((E67)/256),256)/2^1),2)*MOD(INT(MOD(INT((H68)/256),256)/2^1),2)*2+MOD(INT(MOD(INT((E67)/256),256)/2^2),2)*MOD(INT(MOD(INT((H68)/256),256)/2^2),2)*4+MOD(INT(MOD(INT((E67)/256),256)/2^3),2)*MOD(INT(MOD(INT((H68)/256),256)/2^3),2)*8+MOD(INT(MOD(INT((E67)/256),256)/2^4),2)*MOD(INT(MOD(INT((H68)/256),256)/2^4),2)*16+MOD(INT(MOD(INT((E67)/256),256)/2^5),2)*MOD(INT(MOD(INT((H68)/256),256)/2^5),2)*32+MOD(INT(MOD(INT((E67)/256),256)/2^6),2)*MOD(INT(MOD(INT((H68)/256),256)/2^6),2)*64+MOD(INT(MOD(INT((E67)/256),256)/2^7),2)*MOD(INT(MOD(INT((H68)/256),256)/2^7),2)*128)*256+(MOD(INT(MOD(INT((E67)/65536),256)/2^0),2)*MOD(INT(MOD(INT((H68)/65536),256)/2^0),2)*1+MOD(INT(MOD(INT((E67)/65536),256)/2^1),2)*MOD(INT(MOD(INT((H68)/65536),256)/2^1),2)*2+MOD(INT(MOD(INT((E67)/65536),256)/2^2),2)*MOD(INT(MOD(INT((H68)/65536),256)/2^2),2)*4+MOD(INT(MOD(INT((E67)/65536),256)/2^3),2)*MOD(INT(MOD(INT((H68)/65536),256)/2^3),2)*8+MOD(INT(MOD(INT((E67)/65536),256)/2^4),2)*MOD(INT(MOD(INT((H68)/65536),256)/2^4),2)*16+MOD(INT(MOD(INT((E67)/65536),256)/2^5),2)*MOD(INT(MOD(INT((H68)/65536),256)/2^5),2)*32+MOD(INT(MOD(INT((E67)/65536),256)/2^6),2)*MOD(INT(MOD(INT((H68)/65536),256)/2^6),2)*64+MOD(INT(MOD(INT((E67)/65536),256)/2^7),2)*MOD(INT(MOD(INT((H68)/65536),256)/2^7),2)*128)*65536+(MOD(INT(MOD(INT((E67)/16777216),256)/2^0),2)*MOD(INT(MOD(INT((H68)/16777216),256)/2^0),2)*1+MOD(INT(MOD(INT((E67)/16777216),256)/2^1),2)*MOD(INT(MOD(INT((H68)/16777216),256)/2^1),2)*2+MOD(INT(MOD(INT((E67)/16777216),256)/2^2),2)*MOD(INT(MOD(INT((H68)/16777216),256)/2^2),2)*4+MOD(INT(MOD(INT((E67)/16777216),256)/2^3),2)*MOD(INT(MOD(INT((H68)/16777216),256)/2^3),2)*8+MOD(INT(MOD(INT((E67)/16777216),256)/2^4),2)*MOD(INT(MOD(INT((H68)/16777216),256)/2^4),2)*16+MOD(INT(MOD(INT((E67)/16777216),256)/2^5),2)*MOD(INT(MOD(INT((H68)/16777216),256)/2^5),2)*32+MOD(INT(MOD(INT((E67)/16777216),256)/2^6),2)*MOD(INT(MOD(INT((H68)/16777216),256)/2^6),2)*64+MOD(INT(MOD(INT((E67)/16777216),256)/2^7),2)*MOD(INT(MOD(INT((H68)/16777216),256)/2^7),2)*128)*16777216)</f>
        <v>2191197788</v>
      </c>
      <c r="J68" s="43" t="n">
        <f aca="false">MOD(E67+H68-2*I68,4294967296)</f>
        <v>1483004034</v>
      </c>
      <c r="K68" s="36" t="n">
        <f aca="false">(0)+(0)*256+(0)*65536+(0)*16777216</f>
        <v>0</v>
      </c>
      <c r="L68" s="36" t="n">
        <f aca="false">'📦 MD5 Constants'!C66</f>
        <v>718787259</v>
      </c>
      <c r="M68" s="36" t="n">
        <f aca="false">'📦 MD5 Constants'!H66</f>
        <v>15</v>
      </c>
      <c r="N68" s="36" t="n">
        <f aca="false">MOD(C67+J68+K68+'📦 MD5 Constants'!C66,4294967296)</f>
        <v>2755849375</v>
      </c>
      <c r="O68" s="36" t="n">
        <f aca="false">MOD(MOD(N68,2^17)*2^15+INT(N68/2^17),4294967296)</f>
        <v>1984942625</v>
      </c>
      <c r="P68" s="43" t="n">
        <f aca="false">D68</f>
        <v>4175598779</v>
      </c>
      <c r="Q68" s="34" t="s">
        <v>201</v>
      </c>
    </row>
    <row r="69" customFormat="false" ht="13.5" hidden="false" customHeight="true" outlineLevel="0" collapsed="false">
      <c r="B69" s="42" t="n">
        <v>64</v>
      </c>
      <c r="C69" s="43" t="n">
        <f aca="false">F68</f>
        <v>3271237212</v>
      </c>
      <c r="D69" s="43" t="n">
        <f aca="false">MOD(D68+O69,4294967296)</f>
        <v>2254217267</v>
      </c>
      <c r="E69" s="43" t="n">
        <f aca="false">D68</f>
        <v>4175598779</v>
      </c>
      <c r="F69" s="43" t="n">
        <f aca="false">E68</f>
        <v>2190656154</v>
      </c>
      <c r="G69" s="36" t="n">
        <f aca="false">((MOD(INT(MOD(INT((D68)/1),256)/2^0),2)*MOD(INT(MOD(INT(((4294967295-F68))/1),256)/2^0),2)*1+MOD(INT(MOD(INT((D68)/1),256)/2^1),2)*MOD(INT(MOD(INT(((4294967295-F68))/1),256)/2^1),2)*2+MOD(INT(MOD(INT((D68)/1),256)/2^2),2)*MOD(INT(MOD(INT(((4294967295-F68))/1),256)/2^2),2)*4+MOD(INT(MOD(INT((D68)/1),256)/2^3),2)*MOD(INT(MOD(INT(((4294967295-F68))/1),256)/2^3),2)*8+MOD(INT(MOD(INT((D68)/1),256)/2^4),2)*MOD(INT(MOD(INT(((4294967295-F68))/1),256)/2^4),2)*16+MOD(INT(MOD(INT((D68)/1),256)/2^5),2)*MOD(INT(MOD(INT(((4294967295-F68))/1),256)/2^5),2)*32+MOD(INT(MOD(INT((D68)/1),256)/2^6),2)*MOD(INT(MOD(INT(((4294967295-F68))/1),256)/2^6),2)*64+MOD(INT(MOD(INT((D68)/1),256)/2^7),2)*MOD(INT(MOD(INT(((4294967295-F68))/1),256)/2^7),2)*128)*1+(MOD(INT(MOD(INT((D68)/256),256)/2^0),2)*MOD(INT(MOD(INT(((4294967295-F68))/256),256)/2^0),2)*1+MOD(INT(MOD(INT((D68)/256),256)/2^1),2)*MOD(INT(MOD(INT(((4294967295-F68))/256),256)/2^1),2)*2+MOD(INT(MOD(INT((D68)/256),256)/2^2),2)*MOD(INT(MOD(INT(((4294967295-F68))/256),256)/2^2),2)*4+MOD(INT(MOD(INT((D68)/256),256)/2^3),2)*MOD(INT(MOD(INT(((4294967295-F68))/256),256)/2^3),2)*8+MOD(INT(MOD(INT((D68)/256),256)/2^4),2)*MOD(INT(MOD(INT(((4294967295-F68))/256),256)/2^4),2)*16+MOD(INT(MOD(INT((D68)/256),256)/2^5),2)*MOD(INT(MOD(INT(((4294967295-F68))/256),256)/2^5),2)*32+MOD(INT(MOD(INT((D68)/256),256)/2^6),2)*MOD(INT(MOD(INT(((4294967295-F68))/256),256)/2^6),2)*64+MOD(INT(MOD(INT((D68)/256),256)/2^7),2)*MOD(INT(MOD(INT(((4294967295-F68))/256),256)/2^7),2)*128)*256+(MOD(INT(MOD(INT((D68)/65536),256)/2^0),2)*MOD(INT(MOD(INT(((4294967295-F68))/65536),256)/2^0),2)*1+MOD(INT(MOD(INT((D68)/65536),256)/2^1),2)*MOD(INT(MOD(INT(((4294967295-F68))/65536),256)/2^1),2)*2+MOD(INT(MOD(INT((D68)/65536),256)/2^2),2)*MOD(INT(MOD(INT(((4294967295-F68))/65536),256)/2^2),2)*4+MOD(INT(MOD(INT((D68)/65536),256)/2^3),2)*MOD(INT(MOD(INT(((4294967295-F68))/65536),256)/2^3),2)*8+MOD(INT(MOD(INT((D68)/65536),256)/2^4),2)*MOD(INT(MOD(INT(((4294967295-F68))/65536),256)/2^4),2)*16+MOD(INT(MOD(INT((D68)/65536),256)/2^5),2)*MOD(INT(MOD(INT(((4294967295-F68))/65536),256)/2^5),2)*32+MOD(INT(MOD(INT((D68)/65536),256)/2^6),2)*MOD(INT(MOD(INT(((4294967295-F68))/65536),256)/2^6),2)*64+MOD(INT(MOD(INT((D68)/65536),256)/2^7),2)*MOD(INT(MOD(INT(((4294967295-F68))/65536),256)/2^7),2)*128)*65536+(MOD(INT(MOD(INT((D68)/16777216),256)/2^0),2)*MOD(INT(MOD(INT(((4294967295-F68))/16777216),256)/2^0),2)*1+MOD(INT(MOD(INT((D68)/16777216),256)/2^1),2)*MOD(INT(MOD(INT(((4294967295-F68))/16777216),256)/2^1),2)*2+MOD(INT(MOD(INT((D68)/16777216),256)/2^2),2)*MOD(INT(MOD(INT(((4294967295-F68))/16777216),256)/2^2),2)*4+MOD(INT(MOD(INT((D68)/16777216),256)/2^3),2)*MOD(INT(MOD(INT(((4294967295-F68))/16777216),256)/2^3),2)*8+MOD(INT(MOD(INT((D68)/16777216),256)/2^4),2)*MOD(INT(MOD(INT(((4294967295-F68))/16777216),256)/2^4),2)*16+MOD(INT(MOD(INT((D68)/16777216),256)/2^5),2)*MOD(INT(MOD(INT(((4294967295-F68))/16777216),256)/2^5),2)*32+MOD(INT(MOD(INT((D68)/16777216),256)/2^6),2)*MOD(INT(MOD(INT(((4294967295-F68))/16777216),256)/2^6),2)*64+MOD(INT(MOD(INT((D68)/16777216),256)/2^7),2)*MOD(INT(MOD(INT(((4294967295-F68))/16777216),256)/2^7),2)*128)*16777216)</f>
        <v>939557027</v>
      </c>
      <c r="H69" s="36" t="n">
        <f aca="false">MOD(D68+(4294967295-F68)-G69,4294967296)</f>
        <v>4259771835</v>
      </c>
      <c r="I69" s="36" t="n">
        <f aca="false">((MOD(INT(MOD(INT((E68)/1),256)/2^0),2)*MOD(INT(MOD(INT((H69)/1),256)/2^0),2)*1+MOD(INT(MOD(INT((E68)/1),256)/2^1),2)*MOD(INT(MOD(INT((H69)/1),256)/2^1),2)*2+MOD(INT(MOD(INT((E68)/1),256)/2^2),2)*MOD(INT(MOD(INT((H69)/1),256)/2^2),2)*4+MOD(INT(MOD(INT((E68)/1),256)/2^3),2)*MOD(INT(MOD(INT((H69)/1),256)/2^3),2)*8+MOD(INT(MOD(INT((E68)/1),256)/2^4),2)*MOD(INT(MOD(INT((H69)/1),256)/2^4),2)*16+MOD(INT(MOD(INT((E68)/1),256)/2^5),2)*MOD(INT(MOD(INT((H69)/1),256)/2^5),2)*32+MOD(INT(MOD(INT((E68)/1),256)/2^6),2)*MOD(INT(MOD(INT((H69)/1),256)/2^6),2)*64+MOD(INT(MOD(INT((E68)/1),256)/2^7),2)*MOD(INT(MOD(INT((H69)/1),256)/2^7),2)*128)*1+(MOD(INT(MOD(INT((E68)/256),256)/2^0),2)*MOD(INT(MOD(INT((H69)/256),256)/2^0),2)*1+MOD(INT(MOD(INT((E68)/256),256)/2^1),2)*MOD(INT(MOD(INT((H69)/256),256)/2^1),2)*2+MOD(INT(MOD(INT((E68)/256),256)/2^2),2)*MOD(INT(MOD(INT((H69)/256),256)/2^2),2)*4+MOD(INT(MOD(INT((E68)/256),256)/2^3),2)*MOD(INT(MOD(INT((H69)/256),256)/2^3),2)*8+MOD(INT(MOD(INT((E68)/256),256)/2^4),2)*MOD(INT(MOD(INT((H69)/256),256)/2^4),2)*16+MOD(INT(MOD(INT((E68)/256),256)/2^5),2)*MOD(INT(MOD(INT((H69)/256),256)/2^5),2)*32+MOD(INT(MOD(INT((E68)/256),256)/2^6),2)*MOD(INT(MOD(INT((H69)/256),256)/2^6),2)*64+MOD(INT(MOD(INT((E68)/256),256)/2^7),2)*MOD(INT(MOD(INT((H69)/256),256)/2^7),2)*128)*256+(MOD(INT(MOD(INT((E68)/65536),256)/2^0),2)*MOD(INT(MOD(INT((H69)/65536),256)/2^0),2)*1+MOD(INT(MOD(INT((E68)/65536),256)/2^1),2)*MOD(INT(MOD(INT((H69)/65536),256)/2^1),2)*2+MOD(INT(MOD(INT((E68)/65536),256)/2^2),2)*MOD(INT(MOD(INT((H69)/65536),256)/2^2),2)*4+MOD(INT(MOD(INT((E68)/65536),256)/2^3),2)*MOD(INT(MOD(INT((H69)/65536),256)/2^3),2)*8+MOD(INT(MOD(INT((E68)/65536),256)/2^4),2)*MOD(INT(MOD(INT((H69)/65536),256)/2^4),2)*16+MOD(INT(MOD(INT((E68)/65536),256)/2^5),2)*MOD(INT(MOD(INT((H69)/65536),256)/2^5),2)*32+MOD(INT(MOD(INT((E68)/65536),256)/2^6),2)*MOD(INT(MOD(INT((H69)/65536),256)/2^6),2)*64+MOD(INT(MOD(INT((E68)/65536),256)/2^7),2)*MOD(INT(MOD(INT((H69)/65536),256)/2^7),2)*128)*65536+(MOD(INT(MOD(INT((E68)/16777216),256)/2^0),2)*MOD(INT(MOD(INT((H69)/16777216),256)/2^0),2)*1+MOD(INT(MOD(INT((E68)/16777216),256)/2^1),2)*MOD(INT(MOD(INT((H69)/16777216),256)/2^1),2)*2+MOD(INT(MOD(INT((E68)/16777216),256)/2^2),2)*MOD(INT(MOD(INT((H69)/16777216),256)/2^2),2)*4+MOD(INT(MOD(INT((E68)/16777216),256)/2^3),2)*MOD(INT(MOD(INT((H69)/16777216),256)/2^3),2)*8+MOD(INT(MOD(INT((E68)/16777216),256)/2^4),2)*MOD(INT(MOD(INT((H69)/16777216),256)/2^4),2)*16+MOD(INT(MOD(INT((E68)/16777216),256)/2^5),2)*MOD(INT(MOD(INT((H69)/16777216),256)/2^5),2)*32+MOD(INT(MOD(INT((E68)/16777216),256)/2^6),2)*MOD(INT(MOD(INT((H69)/16777216),256)/2^6),2)*64+MOD(INT(MOD(INT((E68)/16777216),256)/2^7),2)*MOD(INT(MOD(INT((H69)/16777216),256)/2^7),2)*128)*16777216)</f>
        <v>2156052634</v>
      </c>
      <c r="J69" s="43" t="n">
        <f aca="false">MOD(E68+H69-2*I69,4294967296)</f>
        <v>2138322721</v>
      </c>
      <c r="K69" s="36" t="n">
        <f aca="false">(0)+(0)*256+(0)*65536+(0)*16777216</f>
        <v>0</v>
      </c>
      <c r="L69" s="36" t="n">
        <f aca="false">'📦 MD5 Constants'!C67</f>
        <v>3951481745</v>
      </c>
      <c r="M69" s="36" t="n">
        <f aca="false">'📦 MD5 Constants'!H67</f>
        <v>21</v>
      </c>
      <c r="N69" s="36" t="n">
        <f aca="false">MOD(C68+J69+K69+'📦 MD5 Constants'!C67,4294967296)</f>
        <v>3495674987</v>
      </c>
      <c r="O69" s="36" t="n">
        <f aca="false">MOD(MOD(N69,2^11)*2^21+INT(N69/2^11),4294967296)</f>
        <v>2373585784</v>
      </c>
      <c r="P69" s="43" t="n">
        <f aca="false">D69</f>
        <v>2254217267</v>
      </c>
      <c r="Q69" s="34" t="s">
        <v>202</v>
      </c>
    </row>
    <row r="70" customFormat="false" ht="18" hidden="false" customHeight="true" outlineLevel="0" collapsed="false">
      <c r="B70" s="44" t="s">
        <v>203</v>
      </c>
      <c r="C70" s="27" t="n">
        <f aca="false">MOD(C69+1732584193,4294967296)</f>
        <v>708854109</v>
      </c>
      <c r="D70" s="27" t="n">
        <f aca="false">MOD(D69+4023233417,4294967296)</f>
        <v>1982483388</v>
      </c>
      <c r="E70" s="27" t="n">
        <f aca="false">MOD(E69+2562383102,4294967296)</f>
        <v>2443014585</v>
      </c>
      <c r="F70" s="27" t="n">
        <f aca="false">MOD(F69+271733878,4294967296)</f>
        <v>2462390032</v>
      </c>
      <c r="G70" s="45" t="s">
        <v>204</v>
      </c>
      <c r="H70" s="45"/>
      <c r="I70" s="45"/>
      <c r="J70" s="45"/>
      <c r="K70" s="45"/>
      <c r="L70" s="45"/>
      <c r="M70" s="45"/>
      <c r="N70" s="45"/>
      <c r="O70" s="45"/>
      <c r="P70" s="45"/>
      <c r="Q70" s="45"/>
    </row>
  </sheetData>
  <mergeCells count="5">
    <mergeCell ref="B1:Q1"/>
    <mergeCell ref="B2:D2"/>
    <mergeCell ref="E2:Q2"/>
    <mergeCell ref="B3:Q3"/>
    <mergeCell ref="G70:Q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2026-05-14T10:37:23Z</dcterms:created>
  <dc:creator>openpyxl</dc:creator>
  <dc:description/>
  <dc:language>en-US</dc:language>
  <cp:lastModifiedBy/>
  <dcterms:modified xsi:type="dcterms:W3CDTF">2026-05-15T05:44:05Z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